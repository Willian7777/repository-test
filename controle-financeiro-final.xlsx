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sumo Anual" sheetId="2" state="visible" r:id="rId2"/>
    <sheet name="Lancamentos" sheetId="3" state="visible" r:id="rId3"/>
    <sheet name="Cartoes" sheetId="4" state="visible" r:id="rId4"/>
    <sheet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B2A4A"/>
      <sz val="10"/>
    </font>
    <font>
      <name val="Segoe UI"/>
      <b val="1"/>
      <color rgb="002980B9"/>
      <sz val="16"/>
    </font>
    <font>
      <name val="Segoe UI"/>
      <b val="1"/>
      <color rgb="001B2A4A"/>
      <sz val="12"/>
    </font>
    <font>
      <name val="Segoe UI"/>
      <b val="1"/>
      <color rgb="002980B9"/>
      <sz val="11"/>
    </font>
    <font>
      <name val="Segoe UI"/>
      <b val="1"/>
      <color rgb="00FFFFFF"/>
      <sz val="11"/>
    </font>
    <font>
      <name val="Segoe UI"/>
      <b val="1"/>
      <color rgb="006A1B9A"/>
      <sz val="11"/>
    </font>
    <font>
      <name val="Segoe UI"/>
      <b val="1"/>
      <color rgb="001B2A4A"/>
      <sz val="9"/>
    </font>
    <font>
      <name val="Segoe UI"/>
      <b val="1"/>
      <color rgb="0027AE60"/>
      <sz val="14"/>
    </font>
    <font>
      <name val="Segoe UI"/>
      <color rgb="00FAFBFC"/>
      <sz val="8"/>
    </font>
    <font>
      <name val="Segoe UI"/>
      <b val="1"/>
      <color rgb="00E74C3C"/>
      <sz val="14"/>
    </font>
    <font>
      <name val="Segoe UI"/>
      <i val="1"/>
      <color rgb="002980B9"/>
      <sz val="9"/>
    </font>
    <font>
      <name val="Segoe UI"/>
      <b val="1"/>
      <color rgb="002980B9"/>
      <sz val="10"/>
    </font>
    <font>
      <name val="Segoe UI"/>
      <i val="1"/>
      <color rgb="00E67E22"/>
      <sz val="9"/>
    </font>
    <font>
      <name val="Segoe UI"/>
      <b val="1"/>
      <color rgb="00E67E22"/>
      <sz val="10"/>
    </font>
    <font>
      <name val="Segoe UI"/>
      <b val="1"/>
      <color rgb="00FFFFFF"/>
      <sz val="10"/>
    </font>
    <font>
      <name val="Segoe UI"/>
      <b val="1"/>
      <color rgb="00F1C40F"/>
      <sz val="16"/>
    </font>
    <font>
      <name val="Segoe UI"/>
      <color rgb="001B2A4A"/>
      <sz val="9"/>
    </font>
    <font>
      <name val="Segoe UI"/>
      <b val="1"/>
      <color rgb="00E74C3C"/>
      <sz val="10"/>
    </font>
    <font>
      <name val="Segoe UI"/>
      <b val="1"/>
      <color rgb="00FFFFFF"/>
      <sz val="15"/>
    </font>
    <font>
      <name val="Segoe UI"/>
      <b val="1"/>
      <color rgb="001B2A4A"/>
      <sz val="11"/>
    </font>
    <font>
      <name val="Segoe UI"/>
      <b val="1"/>
      <color rgb="006A1B9A"/>
      <sz val="14"/>
    </font>
    <font>
      <name val="Segoe UI"/>
      <b val="1"/>
      <color rgb="0027AE60"/>
      <sz val="10"/>
    </font>
    <font>
      <name val="Segoe UI"/>
      <color rgb="001B2A4A"/>
      <sz val="10"/>
    </font>
    <font>
      <name val="Segoe UI"/>
      <b val="1"/>
      <color rgb="00F1C40F"/>
      <sz val="12"/>
    </font>
    <font>
      <name val="Segoe UI"/>
      <color rgb="001B2A4A"/>
      <sz val="8"/>
    </font>
    <font>
      <name val="Segoe UI"/>
      <b val="1"/>
      <color rgb="00FFFFFF"/>
      <sz val="13"/>
    </font>
    <font>
      <name val="Segoe UI"/>
      <b val="1"/>
      <color rgb="00FFFFFF"/>
      <sz val="12"/>
    </font>
  </fonts>
  <fills count="15">
    <fill>
      <patternFill/>
    </fill>
    <fill>
      <patternFill patternType="gray125"/>
    </fill>
    <fill>
      <patternFill patternType="solid">
        <fgColor rgb="00FAFBFC"/>
      </patternFill>
    </fill>
    <fill>
      <patternFill patternType="solid">
        <fgColor rgb="001B2A4A"/>
      </patternFill>
    </fill>
    <fill>
      <patternFill patternType="solid">
        <fgColor rgb="00EEF2F7"/>
      </patternFill>
    </fill>
    <fill>
      <patternFill patternType="solid">
        <fgColor rgb="00FFFFFF"/>
      </patternFill>
    </fill>
    <fill>
      <patternFill patternType="solid">
        <fgColor rgb="00E8E8E8"/>
      </patternFill>
    </fill>
    <fill>
      <patternFill patternType="solid">
        <fgColor rgb="00D6EAF8"/>
      </patternFill>
    </fill>
    <fill>
      <patternFill patternType="solid">
        <fgColor rgb="00F4ECF7"/>
      </patternFill>
    </fill>
    <fill>
      <patternFill patternType="solid">
        <fgColor rgb="00D5F5E3"/>
      </patternFill>
    </fill>
    <fill>
      <patternFill patternType="solid">
        <fgColor rgb="00FDEDEC"/>
      </patternFill>
    </fill>
    <fill>
      <patternFill patternType="solid">
        <fgColor rgb="00F5F7FA"/>
      </patternFill>
    </fill>
    <fill>
      <patternFill patternType="solid">
        <fgColor rgb="006A1B9A"/>
      </patternFill>
    </fill>
    <fill>
      <patternFill patternType="solid">
        <fgColor rgb="00E67E22"/>
      </patternFill>
    </fill>
    <fill>
      <patternFill patternType="solid">
        <fgColor rgb="0095A5A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left" vertical="center"/>
    </xf>
    <xf numFmtId="4" fontId="9" fillId="9" borderId="0" applyAlignment="1" pivotButton="0" quotePrefix="0" xfId="0">
      <alignment horizontal="center" vertical="center"/>
    </xf>
    <xf numFmtId="4" fontId="10" fillId="2" borderId="0" pivotButton="0" quotePrefix="0" xfId="0"/>
    <xf numFmtId="0" fontId="0" fillId="9" borderId="0" pivotButton="0" quotePrefix="0" xfId="0"/>
    <xf numFmtId="0" fontId="2" fillId="10" borderId="0" applyAlignment="1" pivotButton="0" quotePrefix="0" xfId="0">
      <alignment horizontal="left" vertical="center"/>
    </xf>
    <xf numFmtId="4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2" fillId="2" borderId="0" applyAlignment="1" pivotButton="0" quotePrefix="0" xfId="0">
      <alignment horizontal="left" vertical="center"/>
    </xf>
    <xf numFmtId="4" fontId="1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4" fontId="15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4" fontId="17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18" fillId="5" borderId="0" applyAlignment="1" pivotButton="0" quotePrefix="0" xfId="0">
      <alignment horizontal="left" vertical="center"/>
    </xf>
    <xf numFmtId="4" fontId="1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8" fillId="11" borderId="0" applyAlignment="1" pivotButton="0" quotePrefix="0" xfId="0">
      <alignment horizontal="left" vertical="center"/>
    </xf>
    <xf numFmtId="4" fontId="19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20" fillId="1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5" borderId="0" applyAlignment="1" pivotButton="0" quotePrefix="0" xfId="0">
      <alignment horizontal="left" vertical="center"/>
    </xf>
    <xf numFmtId="4" fontId="23" fillId="5" borderId="0" applyAlignment="1" pivotButton="0" quotePrefix="0" xfId="0">
      <alignment horizontal="center" vertical="center"/>
    </xf>
    <xf numFmtId="4" fontId="2" fillId="5" borderId="0" applyAlignment="1" pivotButton="0" quotePrefix="0" xfId="0">
      <alignment horizontal="center" vertical="center"/>
    </xf>
    <xf numFmtId="9" fontId="24" fillId="5" borderId="0" applyAlignment="1" pivotButton="0" quotePrefix="0" xfId="0">
      <alignment horizontal="center" vertical="center"/>
    </xf>
    <xf numFmtId="4" fontId="18" fillId="5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4" fontId="23" fillId="11" borderId="0" applyAlignment="1" pivotButton="0" quotePrefix="0" xfId="0">
      <alignment horizontal="center" vertical="center"/>
    </xf>
    <xf numFmtId="4" fontId="2" fillId="11" borderId="0" applyAlignment="1" pivotButton="0" quotePrefix="0" xfId="0">
      <alignment horizontal="center" vertical="center"/>
    </xf>
    <xf numFmtId="9" fontId="24" fillId="11" borderId="0" applyAlignment="1" pivotButton="0" quotePrefix="0" xfId="0">
      <alignment horizontal="center" vertical="center"/>
    </xf>
    <xf numFmtId="4" fontId="18" fillId="11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center" vertical="center"/>
    </xf>
    <xf numFmtId="9" fontId="25" fillId="3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6" fillId="8" borderId="0" applyAlignment="1" pivotButton="0" quotePrefix="0" xfId="0">
      <alignment horizontal="center" vertical="center"/>
    </xf>
    <xf numFmtId="4" fontId="7" fillId="8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/>
    </xf>
    <xf numFmtId="165" fontId="24" fillId="5" borderId="0" applyAlignment="1" pivotButton="0" quotePrefix="0" xfId="0">
      <alignment horizontal="left" vertical="center"/>
    </xf>
    <xf numFmtId="4" fontId="24" fillId="5" borderId="0" applyAlignment="1" pivotButton="0" quotePrefix="0" xfId="0">
      <alignment horizontal="left" vertical="center"/>
    </xf>
    <xf numFmtId="0" fontId="27" fillId="13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4" fontId="24" fillId="2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4" fillId="11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Segoe UI"/>
        <color rgb="0027AE60"/>
        <sz val="10"/>
      </font>
      <fill>
        <patternFill patternType="solid">
          <fgColor rgb="00D5F5E3"/>
          <bgColor rgb="00D5F5E3"/>
        </patternFill>
      </fill>
    </dxf>
    <dxf>
      <font>
        <name val="Segoe UI"/>
        <color rgb="00E74C3C"/>
        <sz val="10"/>
      </font>
      <fill>
        <patternFill patternType="solid">
          <fgColor rgb="00FDEDEC"/>
          <bgColor rgb="00FDEDEC"/>
        </patternFill>
      </fill>
    </dxf>
    <dxf>
      <font>
        <name val="Segoe UI"/>
        <color rgb="002980B9"/>
        <sz val="10"/>
      </font>
      <fill>
        <patternFill patternType="solid">
          <fgColor rgb="00D6EAF8"/>
          <b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hidden="1" width="0.5" customWidth="1" min="3" max="3"/>
    <col width="2" customWidth="1" min="4" max="4"/>
    <col width="2" customWidth="1" min="5" max="5"/>
    <col width="2" customWidth="1" min="6" max="6"/>
    <col width="16" customWidth="1" min="7" max="7"/>
    <col width="16" customWidth="1" min="8" max="8"/>
    <col width="2" customWidth="1" min="9" max="9"/>
    <col width="2" customWidth="1" min="10" max="10"/>
    <col width="2" customWidth="1" min="11" max="11"/>
  </cols>
  <sheetData>
    <row r="1" ht="44" customHeight="1">
      <c r="A1" s="1" t="inlineStr">
        <is>
          <t>💰  CONTROLE FINANCEIRO — WILL &amp; SÁ</t>
        </is>
      </c>
    </row>
    <row r="2" ht="32" customHeight="1">
      <c r="A2" s="2" t="inlineStr">
        <is>
          <t>MÊS</t>
        </is>
      </c>
      <c r="B2" s="3" t="n">
        <v>7</v>
      </c>
      <c r="C2" s="2" t="inlineStr">
        <is>
          <t>ANO</t>
        </is>
      </c>
      <c r="D2" s="3" t="n">
        <v>2026</v>
      </c>
      <c r="E2" s="4">
        <f>TEXT(DATE(D2,B2,1),"MMMM \ DE \ YYYY")</f>
        <v/>
      </c>
    </row>
    <row r="3" customHeight="1">
      <c r="A3" s="5" t="n"/>
      <c r="B3" s="5">
        <f>D2</f>
        <v/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30" customHeight="1">
      <c r="A5" s="7" t="inlineStr">
        <is>
          <t>⏱  CICLO 1 — ATUAL</t>
        </is>
      </c>
      <c r="C5" s="5" t="n"/>
      <c r="D5" s="5" t="n"/>
      <c r="E5" s="8" t="inlineStr"/>
      <c r="G5" s="9" t="inlineStr">
        <is>
          <t>📆  MÊS COMPLETO — PROJEÇÃO</t>
        </is>
      </c>
    </row>
    <row r="6" ht="30" customHeight="1">
      <c r="A6" s="10" t="inlineStr">
        <is>
          <t>Indicador</t>
        </is>
      </c>
      <c r="B6" s="10" t="inlineStr">
        <is>
          <t>Valor Ciclo 1</t>
        </is>
      </c>
      <c r="C6" s="5" t="n"/>
      <c r="D6" s="5" t="n"/>
      <c r="E6" s="5" t="n"/>
      <c r="F6" s="5" t="n"/>
      <c r="G6" s="10" t="inlineStr">
        <is>
          <t>Indicador</t>
        </is>
      </c>
      <c r="H6" s="10" t="inlineStr">
        <is>
          <t>Valor Total</t>
        </is>
      </c>
      <c r="I6" s="5" t="n"/>
      <c r="J6" s="5" t="n"/>
      <c r="K6" s="5" t="n"/>
    </row>
    <row r="7" ht="30" customHeight="1">
      <c r="A7" s="11" t="inlineStr">
        <is>
          <t>📥  Receitas</t>
        </is>
      </c>
      <c r="B7" s="12">
        <f>SUMIFS(Lancamentos!$G:$G,Lancamentos!$B:$B,"&gt;="&amp;DATE($D$2,$B$2,1),Lancamentos!$B:$B,"&lt;="&amp;DATE($D$2,$B$2+1,0),Lancamentos!$A:$A,"Receita",Lancamentos!$F:$F,1)</f>
        <v/>
      </c>
      <c r="C7" s="13">
        <f>SUMIFS(Lancamentos!$G:$G,Lancamentos!$B:$B,"&gt;="&amp;DATE($D$2,$B$2,1),Lancamentos!$B:$B,"&lt;="&amp;DATE($D$2,$B$2+1,0),Lancamentos!$A:$A,"Receita",Lancamentos!$F:$F,2)</f>
        <v/>
      </c>
      <c r="D7" s="5" t="n"/>
      <c r="E7" s="5" t="n"/>
      <c r="F7" s="5" t="n"/>
      <c r="G7" s="11" t="inlineStr">
        <is>
          <t>📥  Receitas</t>
        </is>
      </c>
      <c r="H7" s="12">
        <f>B7+C7</f>
        <v/>
      </c>
      <c r="I7" s="14" t="n"/>
      <c r="J7" s="14" t="n"/>
      <c r="K7" s="14" t="n"/>
    </row>
    <row r="8" ht="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 ht="36" customHeight="1">
      <c r="A9" s="15" t="inlineStr">
        <is>
          <t>📤  Despesas</t>
        </is>
      </c>
      <c r="B9" s="16">
        <f>SUMIFS(Lancamentos!$G:$G,Lancamentos!$B:$B,"&gt;="&amp;DATE($D$2,$B$2,1),Lancamentos!$B:$B,"&lt;="&amp;DATE($D$2,$B$2+1,0),Lancamentos!$A:$A,"Despesa",Lancamentos!$F:$F,1)</f>
        <v/>
      </c>
      <c r="C9" s="13">
        <f>SUMIFS(Lancamentos!$G:$G,Lancamentos!$B:$B,"&gt;="&amp;DATE($D$2,$B$2,1),Lancamentos!$B:$B,"&lt;="&amp;DATE($D$2,$B$2+1,0),Lancamentos!$A:$A,"Despesa",Lancamentos!$F:$F,2)</f>
        <v/>
      </c>
      <c r="D9" s="5" t="n"/>
      <c r="E9" s="5" t="n"/>
      <c r="F9" s="5" t="n"/>
      <c r="G9" s="15" t="inlineStr">
        <is>
          <t>📤  Despesas</t>
        </is>
      </c>
      <c r="H9" s="16">
        <f>B9+C9</f>
        <v/>
      </c>
      <c r="I9" s="17" t="n"/>
      <c r="J9" s="17" t="n"/>
      <c r="K9" s="17" t="n"/>
    </row>
    <row r="10" ht="22" customHeight="1">
      <c r="A10" s="18" t="inlineStr">
        <is>
          <t>🔵 A Receber</t>
        </is>
      </c>
      <c r="B10" s="19">
        <f>SUMIFS(Lancamentos!$G:$G,Lancamentos!$B:$B,"&gt;="&amp;DATE($D$2,$B$2,1),Lancamentos!$B:$B,"&lt;="&amp;DATE($D$2,$B$2+1,0),Lancamentos!$A:$A,"Receita",Lancamentos!$F:$F,1,Lancamentos!$H:$H,"A Receber")</f>
        <v/>
      </c>
      <c r="C10" s="5" t="n"/>
      <c r="D10" s="5" t="n"/>
      <c r="E10" s="5" t="n"/>
      <c r="F10" s="5" t="n"/>
      <c r="G10" s="18" t="inlineStr">
        <is>
          <t>🔵 A Receber</t>
        </is>
      </c>
      <c r="H10" s="19">
        <f>SUMIFS(Lancamentos!$G:$G,Lancamentos!$B:$B,"&gt;="&amp;DATE($D$2,$B$2,1),Lancamentos!$B:$B,"&lt;="&amp;DATE($D$2,$B$2+1,0),Lancamentos!$A:$A,"Receita",Lancamentos!$H:$H,"A Receber")</f>
        <v/>
      </c>
      <c r="I10" s="5" t="n"/>
      <c r="J10" s="5" t="n"/>
      <c r="K10" s="5" t="n"/>
    </row>
    <row r="11" ht="22" customHeight="1">
      <c r="A11" s="20" t="inlineStr">
        <is>
          <t>🔴 A Pagar</t>
        </is>
      </c>
      <c r="B11" s="21">
        <f>SUMIFS(Lancamentos!$G:$G,Lancamentos!$B:$B,"&gt;="&amp;DATE($D$2,$B$2,1),Lancamentos!$B:$B,"&lt;="&amp;DATE($D$2,$B$2+1,0),Lancamentos!$A:$A,"Despesa",Lancamentos!$F:$F,1,Lancamentos!$H:$H,"A Pagar")</f>
        <v/>
      </c>
      <c r="C11" s="5" t="n"/>
      <c r="D11" s="5" t="n"/>
      <c r="E11" s="5" t="n"/>
      <c r="F11" s="5" t="n"/>
      <c r="G11" s="20" t="inlineStr">
        <is>
          <t>🔴 A Pagar</t>
        </is>
      </c>
      <c r="H11" s="21">
        <f>SUMIFS(Lancamentos!$G:$G,Lancamentos!$B:$B,"&gt;="&amp;DATE($D$2,$B$2,1),Lancamentos!$B:$B,"&lt;="&amp;DATE($D$2,$B$2+1,0),Lancamentos!$A:$A,"Despesa",Lancamentos!$H:$H,"A Pagar")</f>
        <v/>
      </c>
      <c r="I11" s="5" t="n"/>
      <c r="J11" s="5" t="n"/>
      <c r="K11" s="5" t="n"/>
    </row>
    <row r="12" ht="40" customHeight="1">
      <c r="A12" s="22">
        <f>IF(B7-B9&gt;=0,"💰 SALDO C1: ➕","💰 SALDO C1: ➖")</f>
        <v/>
      </c>
      <c r="C12" s="23">
        <f>B7-B9</f>
        <v/>
      </c>
      <c r="D12" s="24" t="n"/>
      <c r="E12" s="24" t="n"/>
      <c r="F12" s="24" t="n"/>
      <c r="G12" s="22">
        <f>IF(H7-H9&gt;=0,"📅 SALDO MÊS: ➕","📅 SALDO MÊS: ➖")</f>
        <v/>
      </c>
      <c r="I12" s="23">
        <f>H7-H9</f>
        <v/>
      </c>
      <c r="J12" s="24" t="n"/>
      <c r="K12" s="24" t="n"/>
    </row>
    <row r="13" ht="1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6" customHeight="1">
      <c r="A14" s="25" t="inlineStr">
        <is>
          <t>📊  GASTOS POR CATEGORIA — MÊS COMPLETO</t>
        </is>
      </c>
    </row>
    <row r="15" ht="20" customHeight="1">
      <c r="A15" s="10" t="inlineStr">
        <is>
          <t>Categoria</t>
        </is>
      </c>
      <c r="B15" s="10" t="inlineStr">
        <is>
          <t>Valor (R$)</t>
        </is>
      </c>
      <c r="C15" s="6" t="n"/>
      <c r="D15" s="6" t="n"/>
      <c r="E15" s="6" t="n"/>
      <c r="F15" s="6" t="n"/>
      <c r="G15" s="10" t="inlineStr">
        <is>
          <t>Categoria</t>
        </is>
      </c>
      <c r="H15" s="10" t="inlineStr">
        <is>
          <t>Valor (R$)</t>
        </is>
      </c>
      <c r="I15" s="6" t="n"/>
      <c r="J15" s="6" t="n"/>
      <c r="K15" s="6" t="n"/>
    </row>
    <row r="16" ht="22" customHeight="1">
      <c r="A16" s="26" t="inlineStr">
        <is>
          <t>Aluguel</t>
        </is>
      </c>
      <c r="B16" s="27">
        <f>SUMIFS(Lancamentos!$G:$G,Lancamentos!$B:$B,"&gt;="&amp;DATE($D$2,$B$2,1),Lancamentos!$B:$B,"&lt;="&amp;DATE($D$2,$B$2+1,0),Lancamentos!$A:$A,"Despesa",Lancamentos!$D:$D,A16)</f>
        <v/>
      </c>
      <c r="C16" s="5" t="n"/>
      <c r="D16" s="5" t="n"/>
      <c r="E16" s="5" t="n"/>
      <c r="F16" s="5" t="n"/>
      <c r="G16" s="26" t="inlineStr">
        <is>
          <t>Aluguel</t>
        </is>
      </c>
      <c r="H16" s="27">
        <f>B16</f>
        <v/>
      </c>
      <c r="I16" s="28" t="n"/>
      <c r="J16" s="28" t="n"/>
      <c r="K16" s="28" t="n"/>
    </row>
    <row r="17" ht="22" customHeight="1">
      <c r="A17" s="29" t="inlineStr">
        <is>
          <t>Alimentação</t>
        </is>
      </c>
      <c r="B17" s="30">
        <f>SUMIFS(Lancamentos!$G:$G,Lancamentos!$B:$B,"&gt;="&amp;DATE($D$2,$B$2,1),Lancamentos!$B:$B,"&lt;="&amp;DATE($D$2,$B$2+1,0),Lancamentos!$A:$A,"Despesa",Lancamentos!$D:$D,A17)</f>
        <v/>
      </c>
      <c r="C17" s="5" t="n"/>
      <c r="D17" s="5" t="n"/>
      <c r="E17" s="5" t="n"/>
      <c r="F17" s="5" t="n"/>
      <c r="G17" s="29" t="inlineStr">
        <is>
          <t>Alimentação</t>
        </is>
      </c>
      <c r="H17" s="30">
        <f>B17</f>
        <v/>
      </c>
      <c r="I17" s="31" t="n"/>
      <c r="J17" s="31" t="n"/>
      <c r="K17" s="31" t="n"/>
    </row>
    <row r="18" ht="22" customHeight="1">
      <c r="A18" s="26" t="inlineStr">
        <is>
          <t>Transporte</t>
        </is>
      </c>
      <c r="B18" s="27">
        <f>SUMIFS(Lancamentos!$G:$G,Lancamentos!$B:$B,"&gt;="&amp;DATE($D$2,$B$2,1),Lancamentos!$B:$B,"&lt;="&amp;DATE($D$2,$B$2+1,0),Lancamentos!$A:$A,"Despesa",Lancamentos!$D:$D,A18)</f>
        <v/>
      </c>
      <c r="C18" s="5" t="n"/>
      <c r="D18" s="5" t="n"/>
      <c r="E18" s="5" t="n"/>
      <c r="F18" s="5" t="n"/>
      <c r="G18" s="26" t="inlineStr">
        <is>
          <t>Transporte</t>
        </is>
      </c>
      <c r="H18" s="27">
        <f>B18</f>
        <v/>
      </c>
      <c r="I18" s="28" t="n"/>
      <c r="J18" s="28" t="n"/>
      <c r="K18" s="28" t="n"/>
    </row>
    <row r="19" ht="22" customHeight="1">
      <c r="A19" s="29" t="inlineStr">
        <is>
          <t>Saúde</t>
        </is>
      </c>
      <c r="B19" s="30">
        <f>SUMIFS(Lancamentos!$G:$G,Lancamentos!$B:$B,"&gt;="&amp;DATE($D$2,$B$2,1),Lancamentos!$B:$B,"&lt;="&amp;DATE($D$2,$B$2+1,0),Lancamentos!$A:$A,"Despesa",Lancamentos!$D:$D,A19)</f>
        <v/>
      </c>
      <c r="C19" s="5" t="n"/>
      <c r="D19" s="5" t="n"/>
      <c r="E19" s="5" t="n"/>
      <c r="F19" s="5" t="n"/>
      <c r="G19" s="29" t="inlineStr">
        <is>
          <t>Saúde</t>
        </is>
      </c>
      <c r="H19" s="30">
        <f>B19</f>
        <v/>
      </c>
      <c r="I19" s="31" t="n"/>
      <c r="J19" s="31" t="n"/>
      <c r="K19" s="31" t="n"/>
    </row>
    <row r="20" ht="22" customHeight="1">
      <c r="A20" s="26" t="inlineStr">
        <is>
          <t>Lazer</t>
        </is>
      </c>
      <c r="B20" s="27">
        <f>SUMIFS(Lancamentos!$G:$G,Lancamentos!$B:$B,"&gt;="&amp;DATE($D$2,$B$2,1),Lancamentos!$B:$B,"&lt;="&amp;DATE($D$2,$B$2+1,0),Lancamentos!$A:$A,"Despesa",Lancamentos!$D:$D,A20)</f>
        <v/>
      </c>
      <c r="C20" s="5" t="n"/>
      <c r="D20" s="5" t="n"/>
      <c r="E20" s="5" t="n"/>
      <c r="F20" s="5" t="n"/>
      <c r="G20" s="26" t="inlineStr">
        <is>
          <t>Lazer</t>
        </is>
      </c>
      <c r="H20" s="27">
        <f>B20</f>
        <v/>
      </c>
      <c r="I20" s="28" t="n"/>
      <c r="J20" s="28" t="n"/>
      <c r="K20" s="28" t="n"/>
    </row>
    <row r="21" ht="22" customHeight="1">
      <c r="A21" s="29" t="inlineStr">
        <is>
          <t>Cartões</t>
        </is>
      </c>
      <c r="B21" s="30">
        <f>SUMIFS(Lancamentos!$G:$G,Lancamentos!$B:$B,"&gt;="&amp;DATE($D$2,$B$2,1),Lancamentos!$B:$B,"&lt;="&amp;DATE($D$2,$B$2+1,0),Lancamentos!$A:$A,"Despesa",Lancamentos!$D:$D,A21)</f>
        <v/>
      </c>
      <c r="C21" s="5" t="n"/>
      <c r="D21" s="5" t="n"/>
      <c r="E21" s="5" t="n"/>
      <c r="F21" s="5" t="n"/>
      <c r="G21" s="29" t="inlineStr">
        <is>
          <t>Cartões</t>
        </is>
      </c>
      <c r="H21" s="30">
        <f>B21</f>
        <v/>
      </c>
      <c r="I21" s="31" t="n"/>
      <c r="J21" s="31" t="n"/>
      <c r="K21" s="31" t="n"/>
    </row>
    <row r="22" ht="22" customHeight="1">
      <c r="A22" s="26" t="inlineStr">
        <is>
          <t>Celular</t>
        </is>
      </c>
      <c r="B22" s="27">
        <f>SUMIFS(Lancamentos!$G:$G,Lancamentos!$B:$B,"&gt;="&amp;DATE($D$2,$B$2,1),Lancamentos!$B:$B,"&lt;="&amp;DATE($D$2,$B$2+1,0),Lancamentos!$A:$A,"Despesa",Lancamentos!$D:$D,A22)</f>
        <v/>
      </c>
      <c r="C22" s="5" t="n"/>
      <c r="D22" s="5" t="n"/>
      <c r="E22" s="5" t="n"/>
      <c r="F22" s="5" t="n"/>
      <c r="G22" s="26" t="inlineStr">
        <is>
          <t>Celular</t>
        </is>
      </c>
      <c r="H22" s="27">
        <f>B22</f>
        <v/>
      </c>
      <c r="I22" s="28" t="n"/>
      <c r="J22" s="28" t="n"/>
      <c r="K22" s="28" t="n"/>
    </row>
    <row r="23" ht="22" customHeight="1">
      <c r="A23" s="29" t="inlineStr">
        <is>
          <t>Outros</t>
        </is>
      </c>
      <c r="B23" s="30">
        <f>SUMIFS(Lancamentos!$G:$G,Lancamentos!$B:$B,"&gt;="&amp;DATE($D$2,$B$2,1),Lancamentos!$B:$B,"&lt;="&amp;DATE($D$2,$B$2+1,0),Lancamentos!$A:$A,"Despesa",Lancamentos!$D:$D,A23)</f>
        <v/>
      </c>
      <c r="C23" s="5" t="n"/>
      <c r="D23" s="5" t="n"/>
      <c r="E23" s="5" t="n"/>
      <c r="F23" s="5" t="n"/>
      <c r="G23" s="29" t="inlineStr">
        <is>
          <t>Outros</t>
        </is>
      </c>
      <c r="H23" s="30">
        <f>B23</f>
        <v/>
      </c>
      <c r="I23" s="31" t="n"/>
      <c r="J23" s="31" t="n"/>
      <c r="K23" s="31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</sheetData>
  <mergeCells count="8">
    <mergeCell ref="G12:H12"/>
    <mergeCell ref="A5:C5"/>
    <mergeCell ref="E5:F5"/>
    <mergeCell ref="G5:K5"/>
    <mergeCell ref="A14:K14"/>
    <mergeCell ref="E2:K2"/>
    <mergeCell ref="A1:K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0" customHeight="1">
      <c r="A1" s="32" t="inlineStr">
        <is>
          <t>📅  RESUMO ANUAL</t>
        </is>
      </c>
    </row>
    <row r="2" ht="30" customHeight="1">
      <c r="A2" s="33" t="inlineStr">
        <is>
          <t>ANO</t>
        </is>
      </c>
      <c r="B2" s="34">
        <f>Dashboard!D2</f>
        <v/>
      </c>
      <c r="C2" s="35" t="n"/>
      <c r="D2" s="35" t="n"/>
      <c r="E2" s="35" t="n"/>
      <c r="F2" s="35" t="n"/>
      <c r="G2" s="35" t="n"/>
      <c r="H2" s="35" t="n"/>
    </row>
    <row r="3" ht="8" customHeight="1">
      <c r="A3" s="6" t="n"/>
      <c r="B3" s="6" t="n"/>
      <c r="C3" s="6" t="n"/>
      <c r="D3" s="6" t="n"/>
      <c r="E3" s="6" t="n"/>
      <c r="F3" s="6" t="n"/>
      <c r="G3" s="6" t="n"/>
      <c r="H3" s="6" t="n"/>
    </row>
    <row r="4" ht="24" customHeight="1">
      <c r="A4" s="22" t="inlineStr">
        <is>
          <t>Mês</t>
        </is>
      </c>
      <c r="B4" s="22" t="inlineStr">
        <is>
          <t>Receitas</t>
        </is>
      </c>
      <c r="C4" s="22" t="inlineStr">
        <is>
          <t>Despesas</t>
        </is>
      </c>
      <c r="D4" s="22" t="inlineStr">
        <is>
          <t>Saldo</t>
        </is>
      </c>
      <c r="E4" s="22" t="inlineStr">
        <is>
          <t>% Gasto</t>
        </is>
      </c>
      <c r="F4" s="22" t="inlineStr">
        <is>
          <t>Rec C1</t>
        </is>
      </c>
      <c r="G4" s="22" t="inlineStr">
        <is>
          <t>Rec C2</t>
        </is>
      </c>
      <c r="H4" s="22" t="inlineStr">
        <is>
          <t>Desp C1</t>
        </is>
      </c>
    </row>
    <row r="5" ht="22" customHeight="1">
      <c r="A5" s="36" t="inlineStr">
        <is>
          <t>Janeiro</t>
        </is>
      </c>
      <c r="B5" s="37">
        <f>SUMIFS(Lancamentos!$G:$G,Lancamentos!$A:$A,"Receita",Lancamentos!$B:$B,"&gt;="&amp;DATE($B$2,1,1),Lancamentos!$B:$B,"&lt;="&amp;DATE($B$2,1+1,0))</f>
        <v/>
      </c>
      <c r="C5" s="27">
        <f>SUMIFS(Lancamentos!$G:$G,Lancamentos!$A:$A,"Despesa",Lancamentos!$B:$B,"&gt;="&amp;DATE($B$2,1,1),Lancamentos!$B:$B,"&lt;="&amp;DATE($B$2,1+1,0))</f>
        <v/>
      </c>
      <c r="D5" s="38">
        <f>B5-C5</f>
        <v/>
      </c>
      <c r="E5" s="39">
        <f>IF(B5=0,0,C5/B5)</f>
        <v/>
      </c>
      <c r="F5" s="40">
        <f>SUMIFS(Lancamentos!$G:$G,Lancamentos!$A:$A,"Receita",Lancamentos!$F:$F,1,Lancamentos!$B:$B,"&gt;="&amp;DATE($B$2,1,1),Lancamentos!$B:$B,"&lt;="&amp;DATE($B$2,1+1,0))</f>
        <v/>
      </c>
      <c r="G5" s="40">
        <f>SUMIFS(Lancamentos!$G:$G,Lancamentos!$A:$A,"Receita",Lancamentos!$F:$F,2,Lancamentos!$B:$B,"&gt;="&amp;DATE($B$2,1,1),Lancamentos!$B:$B,"&lt;="&amp;DATE($B$2,1+1,0))</f>
        <v/>
      </c>
      <c r="H5" s="40">
        <f>SUMIFS(Lancamentos!$G:$G,Lancamentos!$A:$A,"Despesa",Lancamentos!$F:$F,1,Lancamentos!$B:$B,"&gt;="&amp;DATE($B$2,1,1),Lancamentos!$B:$B,"&lt;="&amp;DATE($B$2,1+1,0))</f>
        <v/>
      </c>
    </row>
    <row r="6" ht="22" customHeight="1">
      <c r="A6" s="41" t="inlineStr">
        <is>
          <t>Fevereiro</t>
        </is>
      </c>
      <c r="B6" s="42">
        <f>SUMIFS(Lancamentos!$G:$G,Lancamentos!$A:$A,"Receita",Lancamentos!$B:$B,"&gt;="&amp;DATE($B$2,2,1),Lancamentos!$B:$B,"&lt;="&amp;DATE($B$2,2+1,0))</f>
        <v/>
      </c>
      <c r="C6" s="30">
        <f>SUMIFS(Lancamentos!$G:$G,Lancamentos!$A:$A,"Despesa",Lancamentos!$B:$B,"&gt;="&amp;DATE($B$2,2,1),Lancamentos!$B:$B,"&lt;="&amp;DATE($B$2,2+1,0))</f>
        <v/>
      </c>
      <c r="D6" s="43">
        <f>B6-C6</f>
        <v/>
      </c>
      <c r="E6" s="44">
        <f>IF(B6=0,0,C6/B6)</f>
        <v/>
      </c>
      <c r="F6" s="45">
        <f>SUMIFS(Lancamentos!$G:$G,Lancamentos!$A:$A,"Receita",Lancamentos!$F:$F,1,Lancamentos!$B:$B,"&gt;="&amp;DATE($B$2,2,1),Lancamentos!$B:$B,"&lt;="&amp;DATE($B$2,2+1,0))</f>
        <v/>
      </c>
      <c r="G6" s="45">
        <f>SUMIFS(Lancamentos!$G:$G,Lancamentos!$A:$A,"Receita",Lancamentos!$F:$F,2,Lancamentos!$B:$B,"&gt;="&amp;DATE($B$2,2,1),Lancamentos!$B:$B,"&lt;="&amp;DATE($B$2,2+1,0))</f>
        <v/>
      </c>
      <c r="H6" s="45">
        <f>SUMIFS(Lancamentos!$G:$G,Lancamentos!$A:$A,"Despesa",Lancamentos!$F:$F,1,Lancamentos!$B:$B,"&gt;="&amp;DATE($B$2,2,1),Lancamentos!$B:$B,"&lt;="&amp;DATE($B$2,2+1,0))</f>
        <v/>
      </c>
    </row>
    <row r="7" ht="22" customHeight="1">
      <c r="A7" s="36" t="inlineStr">
        <is>
          <t>Março</t>
        </is>
      </c>
      <c r="B7" s="37">
        <f>SUMIFS(Lancamentos!$G:$G,Lancamentos!$A:$A,"Receita",Lancamentos!$B:$B,"&gt;="&amp;DATE($B$2,3,1),Lancamentos!$B:$B,"&lt;="&amp;DATE($B$2,3+1,0))</f>
        <v/>
      </c>
      <c r="C7" s="27">
        <f>SUMIFS(Lancamentos!$G:$G,Lancamentos!$A:$A,"Despesa",Lancamentos!$B:$B,"&gt;="&amp;DATE($B$2,3,1),Lancamentos!$B:$B,"&lt;="&amp;DATE($B$2,3+1,0))</f>
        <v/>
      </c>
      <c r="D7" s="38">
        <f>B7-C7</f>
        <v/>
      </c>
      <c r="E7" s="39">
        <f>IF(B7=0,0,C7/B7)</f>
        <v/>
      </c>
      <c r="F7" s="40">
        <f>SUMIFS(Lancamentos!$G:$G,Lancamentos!$A:$A,"Receita",Lancamentos!$F:$F,1,Lancamentos!$B:$B,"&gt;="&amp;DATE($B$2,3,1),Lancamentos!$B:$B,"&lt;="&amp;DATE($B$2,3+1,0))</f>
        <v/>
      </c>
      <c r="G7" s="40">
        <f>SUMIFS(Lancamentos!$G:$G,Lancamentos!$A:$A,"Receita",Lancamentos!$F:$F,2,Lancamentos!$B:$B,"&gt;="&amp;DATE($B$2,3,1),Lancamentos!$B:$B,"&lt;="&amp;DATE($B$2,3+1,0))</f>
        <v/>
      </c>
      <c r="H7" s="40">
        <f>SUMIFS(Lancamentos!$G:$G,Lancamentos!$A:$A,"Despesa",Lancamentos!$F:$F,1,Lancamentos!$B:$B,"&gt;="&amp;DATE($B$2,3,1),Lancamentos!$B:$B,"&lt;="&amp;DATE($B$2,3+1,0))</f>
        <v/>
      </c>
    </row>
    <row r="8" ht="22" customHeight="1">
      <c r="A8" s="41" t="inlineStr">
        <is>
          <t>Abril</t>
        </is>
      </c>
      <c r="B8" s="42">
        <f>SUMIFS(Lancamentos!$G:$G,Lancamentos!$A:$A,"Receita",Lancamentos!$B:$B,"&gt;="&amp;DATE($B$2,4,1),Lancamentos!$B:$B,"&lt;="&amp;DATE($B$2,4+1,0))</f>
        <v/>
      </c>
      <c r="C8" s="30">
        <f>SUMIFS(Lancamentos!$G:$G,Lancamentos!$A:$A,"Despesa",Lancamentos!$B:$B,"&gt;="&amp;DATE($B$2,4,1),Lancamentos!$B:$B,"&lt;="&amp;DATE($B$2,4+1,0))</f>
        <v/>
      </c>
      <c r="D8" s="43">
        <f>B8-C8</f>
        <v/>
      </c>
      <c r="E8" s="44">
        <f>IF(B8=0,0,C8/B8)</f>
        <v/>
      </c>
      <c r="F8" s="45">
        <f>SUMIFS(Lancamentos!$G:$G,Lancamentos!$A:$A,"Receita",Lancamentos!$F:$F,1,Lancamentos!$B:$B,"&gt;="&amp;DATE($B$2,4,1),Lancamentos!$B:$B,"&lt;="&amp;DATE($B$2,4+1,0))</f>
        <v/>
      </c>
      <c r="G8" s="45">
        <f>SUMIFS(Lancamentos!$G:$G,Lancamentos!$A:$A,"Receita",Lancamentos!$F:$F,2,Lancamentos!$B:$B,"&gt;="&amp;DATE($B$2,4,1),Lancamentos!$B:$B,"&lt;="&amp;DATE($B$2,4+1,0))</f>
        <v/>
      </c>
      <c r="H8" s="45">
        <f>SUMIFS(Lancamentos!$G:$G,Lancamentos!$A:$A,"Despesa",Lancamentos!$F:$F,1,Lancamentos!$B:$B,"&gt;="&amp;DATE($B$2,4,1),Lancamentos!$B:$B,"&lt;="&amp;DATE($B$2,4+1,0))</f>
        <v/>
      </c>
    </row>
    <row r="9" ht="22" customHeight="1">
      <c r="A9" s="36" t="inlineStr">
        <is>
          <t>Maio</t>
        </is>
      </c>
      <c r="B9" s="37">
        <f>SUMIFS(Lancamentos!$G:$G,Lancamentos!$A:$A,"Receita",Lancamentos!$B:$B,"&gt;="&amp;DATE($B$2,5,1),Lancamentos!$B:$B,"&lt;="&amp;DATE($B$2,5+1,0))</f>
        <v/>
      </c>
      <c r="C9" s="27">
        <f>SUMIFS(Lancamentos!$G:$G,Lancamentos!$A:$A,"Despesa",Lancamentos!$B:$B,"&gt;="&amp;DATE($B$2,5,1),Lancamentos!$B:$B,"&lt;="&amp;DATE($B$2,5+1,0))</f>
        <v/>
      </c>
      <c r="D9" s="38">
        <f>B9-C9</f>
        <v/>
      </c>
      <c r="E9" s="39">
        <f>IF(B9=0,0,C9/B9)</f>
        <v/>
      </c>
      <c r="F9" s="40">
        <f>SUMIFS(Lancamentos!$G:$G,Lancamentos!$A:$A,"Receita",Lancamentos!$F:$F,1,Lancamentos!$B:$B,"&gt;="&amp;DATE($B$2,5,1),Lancamentos!$B:$B,"&lt;="&amp;DATE($B$2,5+1,0))</f>
        <v/>
      </c>
      <c r="G9" s="40">
        <f>SUMIFS(Lancamentos!$G:$G,Lancamentos!$A:$A,"Receita",Lancamentos!$F:$F,2,Lancamentos!$B:$B,"&gt;="&amp;DATE($B$2,5,1),Lancamentos!$B:$B,"&lt;="&amp;DATE($B$2,5+1,0))</f>
        <v/>
      </c>
      <c r="H9" s="40">
        <f>SUMIFS(Lancamentos!$G:$G,Lancamentos!$A:$A,"Despesa",Lancamentos!$F:$F,1,Lancamentos!$B:$B,"&gt;="&amp;DATE($B$2,5,1),Lancamentos!$B:$B,"&lt;="&amp;DATE($B$2,5+1,0))</f>
        <v/>
      </c>
    </row>
    <row r="10" ht="22" customHeight="1">
      <c r="A10" s="41" t="inlineStr">
        <is>
          <t>Junho</t>
        </is>
      </c>
      <c r="B10" s="42">
        <f>SUMIFS(Lancamentos!$G:$G,Lancamentos!$A:$A,"Receita",Lancamentos!$B:$B,"&gt;="&amp;DATE($B$2,6,1),Lancamentos!$B:$B,"&lt;="&amp;DATE($B$2,6+1,0))</f>
        <v/>
      </c>
      <c r="C10" s="30">
        <f>SUMIFS(Lancamentos!$G:$G,Lancamentos!$A:$A,"Despesa",Lancamentos!$B:$B,"&gt;="&amp;DATE($B$2,6,1),Lancamentos!$B:$B,"&lt;="&amp;DATE($B$2,6+1,0))</f>
        <v/>
      </c>
      <c r="D10" s="43">
        <f>B10-C10</f>
        <v/>
      </c>
      <c r="E10" s="44">
        <f>IF(B10=0,0,C10/B10)</f>
        <v/>
      </c>
      <c r="F10" s="45">
        <f>SUMIFS(Lancamentos!$G:$G,Lancamentos!$A:$A,"Receita",Lancamentos!$F:$F,1,Lancamentos!$B:$B,"&gt;="&amp;DATE($B$2,6,1),Lancamentos!$B:$B,"&lt;="&amp;DATE($B$2,6+1,0))</f>
        <v/>
      </c>
      <c r="G10" s="45">
        <f>SUMIFS(Lancamentos!$G:$G,Lancamentos!$A:$A,"Receita",Lancamentos!$F:$F,2,Lancamentos!$B:$B,"&gt;="&amp;DATE($B$2,6,1),Lancamentos!$B:$B,"&lt;="&amp;DATE($B$2,6+1,0))</f>
        <v/>
      </c>
      <c r="H10" s="45">
        <f>SUMIFS(Lancamentos!$G:$G,Lancamentos!$A:$A,"Despesa",Lancamentos!$F:$F,1,Lancamentos!$B:$B,"&gt;="&amp;DATE($B$2,6,1),Lancamentos!$B:$B,"&lt;="&amp;DATE($B$2,6+1,0))</f>
        <v/>
      </c>
    </row>
    <row r="11" ht="22" customHeight="1">
      <c r="A11" s="36" t="inlineStr">
        <is>
          <t>Julho</t>
        </is>
      </c>
      <c r="B11" s="37">
        <f>SUMIFS(Lancamentos!$G:$G,Lancamentos!$A:$A,"Receita",Lancamentos!$B:$B,"&gt;="&amp;DATE($B$2,7,1),Lancamentos!$B:$B,"&lt;="&amp;DATE($B$2,7+1,0))</f>
        <v/>
      </c>
      <c r="C11" s="27">
        <f>SUMIFS(Lancamentos!$G:$G,Lancamentos!$A:$A,"Despesa",Lancamentos!$B:$B,"&gt;="&amp;DATE($B$2,7,1),Lancamentos!$B:$B,"&lt;="&amp;DATE($B$2,7+1,0))</f>
        <v/>
      </c>
      <c r="D11" s="38">
        <f>B11-C11</f>
        <v/>
      </c>
      <c r="E11" s="39">
        <f>IF(B11=0,0,C11/B11)</f>
        <v/>
      </c>
      <c r="F11" s="40">
        <f>SUMIFS(Lancamentos!$G:$G,Lancamentos!$A:$A,"Receita",Lancamentos!$F:$F,1,Lancamentos!$B:$B,"&gt;="&amp;DATE($B$2,7,1),Lancamentos!$B:$B,"&lt;="&amp;DATE($B$2,7+1,0))</f>
        <v/>
      </c>
      <c r="G11" s="40">
        <f>SUMIFS(Lancamentos!$G:$G,Lancamentos!$A:$A,"Receita",Lancamentos!$F:$F,2,Lancamentos!$B:$B,"&gt;="&amp;DATE($B$2,7,1),Lancamentos!$B:$B,"&lt;="&amp;DATE($B$2,7+1,0))</f>
        <v/>
      </c>
      <c r="H11" s="40">
        <f>SUMIFS(Lancamentos!$G:$G,Lancamentos!$A:$A,"Despesa",Lancamentos!$F:$F,1,Lancamentos!$B:$B,"&gt;="&amp;DATE($B$2,7,1),Lancamentos!$B:$B,"&lt;="&amp;DATE($B$2,7+1,0))</f>
        <v/>
      </c>
    </row>
    <row r="12" ht="22" customHeight="1">
      <c r="A12" s="41" t="inlineStr">
        <is>
          <t>Agosto</t>
        </is>
      </c>
      <c r="B12" s="42">
        <f>SUMIFS(Lancamentos!$G:$G,Lancamentos!$A:$A,"Receita",Lancamentos!$B:$B,"&gt;="&amp;DATE($B$2,8,1),Lancamentos!$B:$B,"&lt;="&amp;DATE($B$2,8+1,0))</f>
        <v/>
      </c>
      <c r="C12" s="30">
        <f>SUMIFS(Lancamentos!$G:$G,Lancamentos!$A:$A,"Despesa",Lancamentos!$B:$B,"&gt;="&amp;DATE($B$2,8,1),Lancamentos!$B:$B,"&lt;="&amp;DATE($B$2,8+1,0))</f>
        <v/>
      </c>
      <c r="D12" s="43">
        <f>B12-C12</f>
        <v/>
      </c>
      <c r="E12" s="44">
        <f>IF(B12=0,0,C12/B12)</f>
        <v/>
      </c>
      <c r="F12" s="45">
        <f>SUMIFS(Lancamentos!$G:$G,Lancamentos!$A:$A,"Receita",Lancamentos!$F:$F,1,Lancamentos!$B:$B,"&gt;="&amp;DATE($B$2,8,1),Lancamentos!$B:$B,"&lt;="&amp;DATE($B$2,8+1,0))</f>
        <v/>
      </c>
      <c r="G12" s="45">
        <f>SUMIFS(Lancamentos!$G:$G,Lancamentos!$A:$A,"Receita",Lancamentos!$F:$F,2,Lancamentos!$B:$B,"&gt;="&amp;DATE($B$2,8,1),Lancamentos!$B:$B,"&lt;="&amp;DATE($B$2,8+1,0))</f>
        <v/>
      </c>
      <c r="H12" s="45">
        <f>SUMIFS(Lancamentos!$G:$G,Lancamentos!$A:$A,"Despesa",Lancamentos!$F:$F,1,Lancamentos!$B:$B,"&gt;="&amp;DATE($B$2,8,1),Lancamentos!$B:$B,"&lt;="&amp;DATE($B$2,8+1,0))</f>
        <v/>
      </c>
    </row>
    <row r="13" ht="22" customHeight="1">
      <c r="A13" s="36" t="inlineStr">
        <is>
          <t>Setembro</t>
        </is>
      </c>
      <c r="B13" s="37">
        <f>SUMIFS(Lancamentos!$G:$G,Lancamentos!$A:$A,"Receita",Lancamentos!$B:$B,"&gt;="&amp;DATE($B$2,9,1),Lancamentos!$B:$B,"&lt;="&amp;DATE($B$2,9+1,0))</f>
        <v/>
      </c>
      <c r="C13" s="27">
        <f>SUMIFS(Lancamentos!$G:$G,Lancamentos!$A:$A,"Despesa",Lancamentos!$B:$B,"&gt;="&amp;DATE($B$2,9,1),Lancamentos!$B:$B,"&lt;="&amp;DATE($B$2,9+1,0))</f>
        <v/>
      </c>
      <c r="D13" s="38">
        <f>B13-C13</f>
        <v/>
      </c>
      <c r="E13" s="39">
        <f>IF(B13=0,0,C13/B13)</f>
        <v/>
      </c>
      <c r="F13" s="40">
        <f>SUMIFS(Lancamentos!$G:$G,Lancamentos!$A:$A,"Receita",Lancamentos!$F:$F,1,Lancamentos!$B:$B,"&gt;="&amp;DATE($B$2,9,1),Lancamentos!$B:$B,"&lt;="&amp;DATE($B$2,9+1,0))</f>
        <v/>
      </c>
      <c r="G13" s="40">
        <f>SUMIFS(Lancamentos!$G:$G,Lancamentos!$A:$A,"Receita",Lancamentos!$F:$F,2,Lancamentos!$B:$B,"&gt;="&amp;DATE($B$2,9,1),Lancamentos!$B:$B,"&lt;="&amp;DATE($B$2,9+1,0))</f>
        <v/>
      </c>
      <c r="H13" s="40">
        <f>SUMIFS(Lancamentos!$G:$G,Lancamentos!$A:$A,"Despesa",Lancamentos!$F:$F,1,Lancamentos!$B:$B,"&gt;="&amp;DATE($B$2,9,1),Lancamentos!$B:$B,"&lt;="&amp;DATE($B$2,9+1,0))</f>
        <v/>
      </c>
    </row>
    <row r="14" ht="22" customHeight="1">
      <c r="A14" s="41" t="inlineStr">
        <is>
          <t>Outubro</t>
        </is>
      </c>
      <c r="B14" s="42">
        <f>SUMIFS(Lancamentos!$G:$G,Lancamentos!$A:$A,"Receita",Lancamentos!$B:$B,"&gt;="&amp;DATE($B$2,10,1),Lancamentos!$B:$B,"&lt;="&amp;DATE($B$2,10+1,0))</f>
        <v/>
      </c>
      <c r="C14" s="30">
        <f>SUMIFS(Lancamentos!$G:$G,Lancamentos!$A:$A,"Despesa",Lancamentos!$B:$B,"&gt;="&amp;DATE($B$2,10,1),Lancamentos!$B:$B,"&lt;="&amp;DATE($B$2,10+1,0))</f>
        <v/>
      </c>
      <c r="D14" s="43">
        <f>B14-C14</f>
        <v/>
      </c>
      <c r="E14" s="44">
        <f>IF(B14=0,0,C14/B14)</f>
        <v/>
      </c>
      <c r="F14" s="45">
        <f>SUMIFS(Lancamentos!$G:$G,Lancamentos!$A:$A,"Receita",Lancamentos!$F:$F,1,Lancamentos!$B:$B,"&gt;="&amp;DATE($B$2,10,1),Lancamentos!$B:$B,"&lt;="&amp;DATE($B$2,10+1,0))</f>
        <v/>
      </c>
      <c r="G14" s="45">
        <f>SUMIFS(Lancamentos!$G:$G,Lancamentos!$A:$A,"Receita",Lancamentos!$F:$F,2,Lancamentos!$B:$B,"&gt;="&amp;DATE($B$2,10,1),Lancamentos!$B:$B,"&lt;="&amp;DATE($B$2,10+1,0))</f>
        <v/>
      </c>
      <c r="H14" s="45">
        <f>SUMIFS(Lancamentos!$G:$G,Lancamentos!$A:$A,"Despesa",Lancamentos!$F:$F,1,Lancamentos!$B:$B,"&gt;="&amp;DATE($B$2,10,1),Lancamentos!$B:$B,"&lt;="&amp;DATE($B$2,10+1,0))</f>
        <v/>
      </c>
    </row>
    <row r="15" ht="22" customHeight="1">
      <c r="A15" s="36" t="inlineStr">
        <is>
          <t>Novembro</t>
        </is>
      </c>
      <c r="B15" s="37">
        <f>SUMIFS(Lancamentos!$G:$G,Lancamentos!$A:$A,"Receita",Lancamentos!$B:$B,"&gt;="&amp;DATE($B$2,11,1),Lancamentos!$B:$B,"&lt;="&amp;DATE($B$2,11+1,0))</f>
        <v/>
      </c>
      <c r="C15" s="27">
        <f>SUMIFS(Lancamentos!$G:$G,Lancamentos!$A:$A,"Despesa",Lancamentos!$B:$B,"&gt;="&amp;DATE($B$2,11,1),Lancamentos!$B:$B,"&lt;="&amp;DATE($B$2,11+1,0))</f>
        <v/>
      </c>
      <c r="D15" s="38">
        <f>B15-C15</f>
        <v/>
      </c>
      <c r="E15" s="39">
        <f>IF(B15=0,0,C15/B15)</f>
        <v/>
      </c>
      <c r="F15" s="40">
        <f>SUMIFS(Lancamentos!$G:$G,Lancamentos!$A:$A,"Receita",Lancamentos!$F:$F,1,Lancamentos!$B:$B,"&gt;="&amp;DATE($B$2,11,1),Lancamentos!$B:$B,"&lt;="&amp;DATE($B$2,11+1,0))</f>
        <v/>
      </c>
      <c r="G15" s="40">
        <f>SUMIFS(Lancamentos!$G:$G,Lancamentos!$A:$A,"Receita",Lancamentos!$F:$F,2,Lancamentos!$B:$B,"&gt;="&amp;DATE($B$2,11,1),Lancamentos!$B:$B,"&lt;="&amp;DATE($B$2,11+1,0))</f>
        <v/>
      </c>
      <c r="H15" s="40">
        <f>SUMIFS(Lancamentos!$G:$G,Lancamentos!$A:$A,"Despesa",Lancamentos!$F:$F,1,Lancamentos!$B:$B,"&gt;="&amp;DATE($B$2,11,1),Lancamentos!$B:$B,"&lt;="&amp;DATE($B$2,11+1,0))</f>
        <v/>
      </c>
    </row>
    <row r="16" ht="22" customHeight="1">
      <c r="A16" s="41" t="inlineStr">
        <is>
          <t>Dezembro</t>
        </is>
      </c>
      <c r="B16" s="42">
        <f>SUMIFS(Lancamentos!$G:$G,Lancamentos!$A:$A,"Receita",Lancamentos!$B:$B,"&gt;="&amp;DATE($B$2,12,1),Lancamentos!$B:$B,"&lt;="&amp;DATE($B$2,12+1,0))</f>
        <v/>
      </c>
      <c r="C16" s="30">
        <f>SUMIFS(Lancamentos!$G:$G,Lancamentos!$A:$A,"Despesa",Lancamentos!$B:$B,"&gt;="&amp;DATE($B$2,12,1),Lancamentos!$B:$B,"&lt;="&amp;DATE($B$2,12+1,0))</f>
        <v/>
      </c>
      <c r="D16" s="43">
        <f>B16-C16</f>
        <v/>
      </c>
      <c r="E16" s="44">
        <f>IF(B16=0,0,C16/B16)</f>
        <v/>
      </c>
      <c r="F16" s="45">
        <f>SUMIFS(Lancamentos!$G:$G,Lancamentos!$A:$A,"Receita",Lancamentos!$F:$F,1,Lancamentos!$B:$B,"&gt;="&amp;DATE($B$2,12,1),Lancamentos!$B:$B,"&lt;="&amp;DATE($B$2,12+1,0))</f>
        <v/>
      </c>
      <c r="G16" s="45">
        <f>SUMIFS(Lancamentos!$G:$G,Lancamentos!$A:$A,"Receita",Lancamentos!$F:$F,2,Lancamentos!$B:$B,"&gt;="&amp;DATE($B$2,12,1),Lancamentos!$B:$B,"&lt;="&amp;DATE($B$2,12+1,0))</f>
        <v/>
      </c>
      <c r="H16" s="45">
        <f>SUMIFS(Lancamentos!$G:$G,Lancamentos!$A:$A,"Despesa",Lancamentos!$F:$F,1,Lancamentos!$B:$B,"&gt;="&amp;DATE($B$2,12,1),Lancamentos!$B:$B,"&lt;="&amp;DATE($B$2,12+1,0))</f>
        <v/>
      </c>
    </row>
    <row r="17" ht="28" customHeight="1">
      <c r="A17" s="46" t="inlineStr">
        <is>
          <t>📊 TOTAL</t>
        </is>
      </c>
      <c r="B17" s="47">
        <f>SUM(B5:B16)</f>
        <v/>
      </c>
      <c r="C17" s="47">
        <f>SUM(C5:C16)</f>
        <v/>
      </c>
      <c r="D17" s="47">
        <f>B17-C17</f>
        <v/>
      </c>
      <c r="E17" s="48">
        <f>IF(B17=0,0,C17/B17)</f>
        <v/>
      </c>
      <c r="F17" s="24" t="n"/>
      <c r="G17" s="24" t="n"/>
      <c r="H17" s="24" t="n"/>
    </row>
    <row r="18" ht="12" customHeight="1">
      <c r="A18" s="5" t="n"/>
      <c r="B18" s="5" t="n"/>
      <c r="C18" s="5" t="n"/>
      <c r="D18" s="5" t="n"/>
      <c r="E18" s="5" t="n"/>
      <c r="F18" s="5" t="n"/>
      <c r="G18" s="5" t="n"/>
      <c r="H18" s="5" t="n"/>
    </row>
    <row r="19" ht="24" customHeight="1">
      <c r="A19" s="49" t="inlineStr">
        <is>
          <t>Indicadores do Ano</t>
        </is>
      </c>
    </row>
    <row r="20" ht="28" customHeight="1">
      <c r="A20" s="50" t="inlineStr">
        <is>
          <t>Média Rec/mês</t>
        </is>
      </c>
      <c r="B20" s="51">
        <f>AVERAGEIF(B5:B16,"&gt;0")</f>
        <v/>
      </c>
      <c r="C20" s="50" t="inlineStr">
        <is>
          <t>Média Desp/mês</t>
        </is>
      </c>
      <c r="D20" s="51">
        <f>AVERAGEIF(C5:C16,"&gt;0")</f>
        <v/>
      </c>
      <c r="E20" s="50" t="inlineStr">
        <is>
          <t>Melhor saldo</t>
        </is>
      </c>
      <c r="F20" s="51">
        <f>MAX(D5:D16)</f>
        <v/>
      </c>
      <c r="G20" s="50" t="inlineStr">
        <is>
          <t>Pior saldo</t>
        </is>
      </c>
      <c r="H20" s="51">
        <f>MIN(D5:D16)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</sheetData>
  <mergeCells count="2">
    <mergeCell ref="A19:H1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980B9"/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8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6" customHeight="1">
      <c r="A1" s="22" t="inlineStr">
        <is>
          <t>Tipo</t>
        </is>
      </c>
      <c r="B1" s="22" t="inlineStr">
        <is>
          <t>Data</t>
        </is>
      </c>
      <c r="C1" s="22" t="inlineStr">
        <is>
          <t>Descrição</t>
        </is>
      </c>
      <c r="D1" s="22" t="inlineStr">
        <is>
          <t>Categoria</t>
        </is>
      </c>
      <c r="E1" s="22" t="inlineStr">
        <is>
          <t>Responsável</t>
        </is>
      </c>
      <c r="F1" s="22" t="inlineStr">
        <is>
          <t>Ciclo</t>
        </is>
      </c>
      <c r="G1" s="22" t="inlineStr">
        <is>
          <t>Valor</t>
        </is>
      </c>
      <c r="H1" s="22" t="inlineStr">
        <is>
          <t>Status</t>
        </is>
      </c>
    </row>
    <row r="2" ht="20" customHeight="1">
      <c r="A2" s="52" t="inlineStr">
        <is>
          <t>Receita</t>
        </is>
      </c>
      <c r="B2" s="53" t="n">
        <v>46208</v>
      </c>
      <c r="C2" s="52" t="inlineStr">
        <is>
          <t>Salário Will</t>
        </is>
      </c>
      <c r="D2" s="52" t="inlineStr">
        <is>
          <t>Salário</t>
        </is>
      </c>
      <c r="E2" s="52" t="inlineStr">
        <is>
          <t>Will</t>
        </is>
      </c>
      <c r="F2" s="52" t="n">
        <v>1</v>
      </c>
      <c r="G2" s="54" t="n">
        <v>5000</v>
      </c>
      <c r="H2" s="52" t="inlineStr">
        <is>
          <t>Recebido</t>
        </is>
      </c>
    </row>
    <row r="3" ht="20" customHeight="1">
      <c r="A3" s="52" t="inlineStr">
        <is>
          <t>Receita</t>
        </is>
      </c>
      <c r="B3" s="53" t="n">
        <v>46208</v>
      </c>
      <c r="C3" s="52" t="inlineStr">
        <is>
          <t>Salário Sá</t>
        </is>
      </c>
      <c r="D3" s="52" t="inlineStr">
        <is>
          <t>Salário</t>
        </is>
      </c>
      <c r="E3" s="52" t="inlineStr">
        <is>
          <t>Sá</t>
        </is>
      </c>
      <c r="F3" s="52" t="n">
        <v>1</v>
      </c>
      <c r="G3" s="54" t="n">
        <v>3800</v>
      </c>
      <c r="H3" s="52" t="inlineStr">
        <is>
          <t>Recebido</t>
        </is>
      </c>
    </row>
    <row r="4" ht="20" customHeight="1">
      <c r="A4" s="52" t="inlineStr">
        <is>
          <t>Despesa</t>
        </is>
      </c>
      <c r="B4" s="53" t="n">
        <v>46206</v>
      </c>
      <c r="C4" s="52" t="inlineStr">
        <is>
          <t>Aluguel</t>
        </is>
      </c>
      <c r="D4" s="52" t="inlineStr">
        <is>
          <t>Aluguel</t>
        </is>
      </c>
      <c r="E4" s="52" t="inlineStr">
        <is>
          <t>Ambos</t>
        </is>
      </c>
      <c r="F4" s="52" t="n">
        <v>1</v>
      </c>
      <c r="G4" s="54" t="n">
        <v>1800</v>
      </c>
      <c r="H4" s="52" t="inlineStr">
        <is>
          <t>Pago</t>
        </is>
      </c>
    </row>
    <row r="5" ht="20" customHeight="1">
      <c r="A5" s="52" t="inlineStr">
        <is>
          <t>Despesa</t>
        </is>
      </c>
      <c r="B5" s="53" t="n">
        <v>46207</v>
      </c>
      <c r="C5" s="52" t="inlineStr">
        <is>
          <t>Mercado</t>
        </is>
      </c>
      <c r="D5" s="52" t="inlineStr">
        <is>
          <t>Alimentação</t>
        </is>
      </c>
      <c r="E5" s="52" t="inlineStr">
        <is>
          <t>Ambos</t>
        </is>
      </c>
      <c r="F5" s="52" t="n">
        <v>1</v>
      </c>
      <c r="G5" s="54" t="n">
        <v>620</v>
      </c>
      <c r="H5" s="52" t="inlineStr">
        <is>
          <t>Pago</t>
        </is>
      </c>
    </row>
    <row r="6" ht="20" customHeight="1">
      <c r="A6" s="52" t="inlineStr">
        <is>
          <t>Despesa</t>
        </is>
      </c>
      <c r="B6" s="53" t="n">
        <v>46213</v>
      </c>
      <c r="C6" s="52" t="inlineStr">
        <is>
          <t>Internet</t>
        </is>
      </c>
      <c r="D6" s="52" t="inlineStr">
        <is>
          <t>Celular</t>
        </is>
      </c>
      <c r="E6" s="52" t="inlineStr">
        <is>
          <t>Ambos</t>
        </is>
      </c>
      <c r="F6" s="52" t="n">
        <v>1</v>
      </c>
      <c r="G6" s="54" t="n">
        <v>150</v>
      </c>
      <c r="H6" s="52" t="inlineStr">
        <is>
          <t>A Pagar</t>
        </is>
      </c>
    </row>
    <row r="7" ht="20" customHeight="1">
      <c r="A7" s="52" t="inlineStr">
        <is>
          <t>Despesa</t>
        </is>
      </c>
      <c r="B7" s="53" t="n">
        <v>46223</v>
      </c>
      <c r="C7" s="52" t="inlineStr">
        <is>
          <t>Fatura Will</t>
        </is>
      </c>
      <c r="D7" s="52" t="inlineStr">
        <is>
          <t>Cartões</t>
        </is>
      </c>
      <c r="E7" s="52" t="inlineStr">
        <is>
          <t>Will</t>
        </is>
      </c>
      <c r="F7" s="52" t="n">
        <v>2</v>
      </c>
      <c r="G7" s="54" t="n">
        <v>900</v>
      </c>
      <c r="H7" s="52" t="inlineStr">
        <is>
          <t>A Pagar</t>
        </is>
      </c>
    </row>
    <row r="8" ht="20" customHeight="1">
      <c r="A8" s="52" t="inlineStr">
        <is>
          <t>Receita</t>
        </is>
      </c>
      <c r="B8" s="53" t="n">
        <v>46228</v>
      </c>
      <c r="C8" s="52" t="inlineStr">
        <is>
          <t>Renda Extra</t>
        </is>
      </c>
      <c r="D8" s="52" t="inlineStr">
        <is>
          <t>Renda Extra</t>
        </is>
      </c>
      <c r="E8" s="52" t="inlineStr">
        <is>
          <t>Will</t>
        </is>
      </c>
      <c r="F8" s="52" t="n">
        <v>2</v>
      </c>
      <c r="G8" s="54" t="n">
        <v>500</v>
      </c>
      <c r="H8" s="52" t="inlineStr">
        <is>
          <t>A Receber</t>
        </is>
      </c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</row>
    <row r="158">
      <c r="A158" s="28" t="n"/>
      <c r="B158" s="28" t="n"/>
      <c r="C158" s="28" t="n"/>
      <c r="D158" s="28" t="n"/>
      <c r="E158" s="28" t="n"/>
      <c r="F158" s="28" t="n"/>
      <c r="G158" s="28" t="n"/>
      <c r="H158" s="28" t="n"/>
    </row>
    <row r="159">
      <c r="A159" s="28" t="n"/>
      <c r="B159" s="28" t="n"/>
      <c r="C159" s="28" t="n"/>
      <c r="D159" s="28" t="n"/>
      <c r="E159" s="28" t="n"/>
      <c r="F159" s="28" t="n"/>
      <c r="G159" s="28" t="n"/>
      <c r="H159" s="28" t="n"/>
    </row>
    <row r="160">
      <c r="A160" s="28" t="n"/>
      <c r="B160" s="28" t="n"/>
      <c r="C160" s="28" t="n"/>
      <c r="D160" s="28" t="n"/>
      <c r="E160" s="28" t="n"/>
      <c r="F160" s="28" t="n"/>
      <c r="G160" s="28" t="n"/>
      <c r="H160" s="28" t="n"/>
    </row>
    <row r="161">
      <c r="A161" s="28" t="n"/>
      <c r="B161" s="28" t="n"/>
      <c r="C161" s="28" t="n"/>
      <c r="D161" s="28" t="n"/>
      <c r="E161" s="28" t="n"/>
      <c r="F161" s="28" t="n"/>
      <c r="G161" s="28" t="n"/>
      <c r="H161" s="28" t="n"/>
    </row>
    <row r="162">
      <c r="A162" s="28" t="n"/>
      <c r="B162" s="28" t="n"/>
      <c r="C162" s="28" t="n"/>
      <c r="D162" s="28" t="n"/>
      <c r="E162" s="28" t="n"/>
      <c r="F162" s="28" t="n"/>
      <c r="G162" s="28" t="n"/>
      <c r="H162" s="28" t="n"/>
    </row>
    <row r="163">
      <c r="A163" s="28" t="n"/>
      <c r="B163" s="28" t="n"/>
      <c r="C163" s="28" t="n"/>
      <c r="D163" s="28" t="n"/>
      <c r="E163" s="28" t="n"/>
      <c r="F163" s="28" t="n"/>
      <c r="G163" s="28" t="n"/>
      <c r="H163" s="28" t="n"/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</row>
    <row r="165">
      <c r="A165" s="28" t="n"/>
      <c r="B165" s="28" t="n"/>
      <c r="C165" s="28" t="n"/>
      <c r="D165" s="28" t="n"/>
      <c r="E165" s="28" t="n"/>
      <c r="F165" s="28" t="n"/>
      <c r="G165" s="28" t="n"/>
      <c r="H165" s="28" t="n"/>
    </row>
    <row r="166">
      <c r="A166" s="28" t="n"/>
      <c r="B166" s="28" t="n"/>
      <c r="C166" s="28" t="n"/>
      <c r="D166" s="28" t="n"/>
      <c r="E166" s="28" t="n"/>
      <c r="F166" s="28" t="n"/>
      <c r="G166" s="28" t="n"/>
      <c r="H166" s="28" t="n"/>
    </row>
    <row r="167">
      <c r="A167" s="28" t="n"/>
      <c r="B167" s="28" t="n"/>
      <c r="C167" s="28" t="n"/>
      <c r="D167" s="28" t="n"/>
      <c r="E167" s="28" t="n"/>
      <c r="F167" s="28" t="n"/>
      <c r="G167" s="28" t="n"/>
      <c r="H167" s="28" t="n"/>
    </row>
    <row r="168">
      <c r="A168" s="28" t="n"/>
      <c r="B168" s="28" t="n"/>
      <c r="C168" s="28" t="n"/>
      <c r="D168" s="28" t="n"/>
      <c r="E168" s="28" t="n"/>
      <c r="F168" s="28" t="n"/>
      <c r="G168" s="28" t="n"/>
      <c r="H168" s="28" t="n"/>
    </row>
    <row r="169">
      <c r="A169" s="28" t="n"/>
      <c r="B169" s="28" t="n"/>
      <c r="C169" s="28" t="n"/>
      <c r="D169" s="28" t="n"/>
      <c r="E169" s="28" t="n"/>
      <c r="F169" s="28" t="n"/>
      <c r="G169" s="28" t="n"/>
      <c r="H169" s="28" t="n"/>
    </row>
    <row r="170">
      <c r="A170" s="28" t="n"/>
      <c r="B170" s="28" t="n"/>
      <c r="C170" s="28" t="n"/>
      <c r="D170" s="28" t="n"/>
      <c r="E170" s="28" t="n"/>
      <c r="F170" s="28" t="n"/>
      <c r="G170" s="28" t="n"/>
      <c r="H170" s="28" t="n"/>
    </row>
    <row r="171">
      <c r="A171" s="28" t="n"/>
      <c r="B171" s="28" t="n"/>
      <c r="C171" s="28" t="n"/>
      <c r="D171" s="28" t="n"/>
      <c r="E171" s="28" t="n"/>
      <c r="F171" s="28" t="n"/>
      <c r="G171" s="28" t="n"/>
      <c r="H171" s="28" t="n"/>
    </row>
    <row r="172">
      <c r="A172" s="28" t="n"/>
      <c r="B172" s="28" t="n"/>
      <c r="C172" s="28" t="n"/>
      <c r="D172" s="28" t="n"/>
      <c r="E172" s="28" t="n"/>
      <c r="F172" s="28" t="n"/>
      <c r="G172" s="28" t="n"/>
      <c r="H172" s="28" t="n"/>
    </row>
    <row r="173">
      <c r="A173" s="28" t="n"/>
      <c r="B173" s="28" t="n"/>
      <c r="C173" s="28" t="n"/>
      <c r="D173" s="28" t="n"/>
      <c r="E173" s="28" t="n"/>
      <c r="F173" s="28" t="n"/>
      <c r="G173" s="28" t="n"/>
      <c r="H173" s="28" t="n"/>
    </row>
    <row r="174">
      <c r="A174" s="28" t="n"/>
      <c r="B174" s="28" t="n"/>
      <c r="C174" s="28" t="n"/>
      <c r="D174" s="28" t="n"/>
      <c r="E174" s="28" t="n"/>
      <c r="F174" s="28" t="n"/>
      <c r="G174" s="28" t="n"/>
      <c r="H174" s="28" t="n"/>
    </row>
    <row r="175">
      <c r="A175" s="28" t="n"/>
      <c r="B175" s="28" t="n"/>
      <c r="C175" s="28" t="n"/>
      <c r="D175" s="28" t="n"/>
      <c r="E175" s="28" t="n"/>
      <c r="F175" s="28" t="n"/>
      <c r="G175" s="28" t="n"/>
      <c r="H175" s="28" t="n"/>
    </row>
    <row r="176">
      <c r="A176" s="28" t="n"/>
      <c r="B176" s="28" t="n"/>
      <c r="C176" s="28" t="n"/>
      <c r="D176" s="28" t="n"/>
      <c r="E176" s="28" t="n"/>
      <c r="F176" s="28" t="n"/>
      <c r="G176" s="28" t="n"/>
      <c r="H176" s="28" t="n"/>
    </row>
    <row r="177">
      <c r="A177" s="28" t="n"/>
      <c r="B177" s="28" t="n"/>
      <c r="C177" s="28" t="n"/>
      <c r="D177" s="28" t="n"/>
      <c r="E177" s="28" t="n"/>
      <c r="F177" s="28" t="n"/>
      <c r="G177" s="28" t="n"/>
      <c r="H177" s="28" t="n"/>
    </row>
    <row r="178">
      <c r="A178" s="28" t="n"/>
      <c r="B178" s="28" t="n"/>
      <c r="C178" s="28" t="n"/>
      <c r="D178" s="28" t="n"/>
      <c r="E178" s="28" t="n"/>
      <c r="F178" s="28" t="n"/>
      <c r="G178" s="28" t="n"/>
      <c r="H178" s="28" t="n"/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</row>
    <row r="180">
      <c r="A180" s="28" t="n"/>
      <c r="B180" s="28" t="n"/>
      <c r="C180" s="28" t="n"/>
      <c r="D180" s="28" t="n"/>
      <c r="E180" s="28" t="n"/>
      <c r="F180" s="28" t="n"/>
      <c r="G180" s="28" t="n"/>
      <c r="H180" s="28" t="n"/>
    </row>
    <row r="181">
      <c r="A181" s="28" t="n"/>
      <c r="B181" s="28" t="n"/>
      <c r="C181" s="28" t="n"/>
      <c r="D181" s="28" t="n"/>
      <c r="E181" s="28" t="n"/>
      <c r="F181" s="28" t="n"/>
      <c r="G181" s="28" t="n"/>
      <c r="H181" s="28" t="n"/>
    </row>
    <row r="182">
      <c r="A182" s="28" t="n"/>
      <c r="B182" s="28" t="n"/>
      <c r="C182" s="28" t="n"/>
      <c r="D182" s="28" t="n"/>
      <c r="E182" s="28" t="n"/>
      <c r="F182" s="28" t="n"/>
      <c r="G182" s="28" t="n"/>
      <c r="H182" s="28" t="n"/>
    </row>
    <row r="183">
      <c r="A183" s="28" t="n"/>
      <c r="B183" s="28" t="n"/>
      <c r="C183" s="28" t="n"/>
      <c r="D183" s="28" t="n"/>
      <c r="E183" s="28" t="n"/>
      <c r="F183" s="28" t="n"/>
      <c r="G183" s="28" t="n"/>
      <c r="H183" s="28" t="n"/>
    </row>
    <row r="184">
      <c r="A184" s="28" t="n"/>
      <c r="B184" s="28" t="n"/>
      <c r="C184" s="28" t="n"/>
      <c r="D184" s="28" t="n"/>
      <c r="E184" s="28" t="n"/>
      <c r="F184" s="28" t="n"/>
      <c r="G184" s="28" t="n"/>
      <c r="H184" s="28" t="n"/>
    </row>
    <row r="185">
      <c r="A185" s="28" t="n"/>
      <c r="B185" s="28" t="n"/>
      <c r="C185" s="28" t="n"/>
      <c r="D185" s="28" t="n"/>
      <c r="E185" s="28" t="n"/>
      <c r="F185" s="28" t="n"/>
      <c r="G185" s="28" t="n"/>
      <c r="H185" s="28" t="n"/>
    </row>
    <row r="186">
      <c r="A186" s="28" t="n"/>
      <c r="B186" s="28" t="n"/>
      <c r="C186" s="28" t="n"/>
      <c r="D186" s="28" t="n"/>
      <c r="E186" s="28" t="n"/>
      <c r="F186" s="28" t="n"/>
      <c r="G186" s="28" t="n"/>
      <c r="H186" s="28" t="n"/>
    </row>
    <row r="187">
      <c r="A187" s="28" t="n"/>
      <c r="B187" s="28" t="n"/>
      <c r="C187" s="28" t="n"/>
      <c r="D187" s="28" t="n"/>
      <c r="E187" s="28" t="n"/>
      <c r="F187" s="28" t="n"/>
      <c r="G187" s="28" t="n"/>
      <c r="H187" s="28" t="n"/>
    </row>
    <row r="188">
      <c r="A188" s="28" t="n"/>
      <c r="B188" s="28" t="n"/>
      <c r="C188" s="28" t="n"/>
      <c r="D188" s="28" t="n"/>
      <c r="E188" s="28" t="n"/>
      <c r="F188" s="28" t="n"/>
      <c r="G188" s="28" t="n"/>
      <c r="H188" s="28" t="n"/>
    </row>
    <row r="189">
      <c r="A189" s="28" t="n"/>
      <c r="B189" s="28" t="n"/>
      <c r="C189" s="28" t="n"/>
      <c r="D189" s="28" t="n"/>
      <c r="E189" s="28" t="n"/>
      <c r="F189" s="28" t="n"/>
      <c r="G189" s="28" t="n"/>
      <c r="H189" s="28" t="n"/>
    </row>
    <row r="190">
      <c r="A190" s="28" t="n"/>
      <c r="B190" s="28" t="n"/>
      <c r="C190" s="28" t="n"/>
      <c r="D190" s="28" t="n"/>
      <c r="E190" s="28" t="n"/>
      <c r="F190" s="28" t="n"/>
      <c r="G190" s="28" t="n"/>
      <c r="H190" s="28" t="n"/>
    </row>
    <row r="191">
      <c r="A191" s="28" t="n"/>
      <c r="B191" s="28" t="n"/>
      <c r="C191" s="28" t="n"/>
      <c r="D191" s="28" t="n"/>
      <c r="E191" s="28" t="n"/>
      <c r="F191" s="28" t="n"/>
      <c r="G191" s="28" t="n"/>
      <c r="H191" s="28" t="n"/>
    </row>
    <row r="192">
      <c r="A192" s="28" t="n"/>
      <c r="B192" s="28" t="n"/>
      <c r="C192" s="28" t="n"/>
      <c r="D192" s="28" t="n"/>
      <c r="E192" s="28" t="n"/>
      <c r="F192" s="28" t="n"/>
      <c r="G192" s="28" t="n"/>
      <c r="H192" s="28" t="n"/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</row>
    <row r="195">
      <c r="A195" s="28" t="n"/>
      <c r="B195" s="28" t="n"/>
      <c r="C195" s="28" t="n"/>
      <c r="D195" s="28" t="n"/>
      <c r="E195" s="28" t="n"/>
      <c r="F195" s="28" t="n"/>
      <c r="G195" s="28" t="n"/>
      <c r="H195" s="28" t="n"/>
    </row>
    <row r="196">
      <c r="A196" s="28" t="n"/>
      <c r="B196" s="28" t="n"/>
      <c r="C196" s="28" t="n"/>
      <c r="D196" s="28" t="n"/>
      <c r="E196" s="28" t="n"/>
      <c r="F196" s="28" t="n"/>
      <c r="G196" s="28" t="n"/>
      <c r="H196" s="28" t="n"/>
    </row>
    <row r="197">
      <c r="A197" s="28" t="n"/>
      <c r="B197" s="28" t="n"/>
      <c r="C197" s="28" t="n"/>
      <c r="D197" s="28" t="n"/>
      <c r="E197" s="28" t="n"/>
      <c r="F197" s="28" t="n"/>
      <c r="G197" s="28" t="n"/>
      <c r="H197" s="28" t="n"/>
    </row>
    <row r="198">
      <c r="A198" s="28" t="n"/>
      <c r="B198" s="28" t="n"/>
      <c r="C198" s="28" t="n"/>
      <c r="D198" s="28" t="n"/>
      <c r="E198" s="28" t="n"/>
      <c r="F198" s="28" t="n"/>
      <c r="G198" s="28" t="n"/>
      <c r="H198" s="28" t="n"/>
    </row>
    <row r="199">
      <c r="A199" s="28" t="n"/>
      <c r="B199" s="28" t="n"/>
      <c r="C199" s="28" t="n"/>
      <c r="D199" s="28" t="n"/>
      <c r="E199" s="28" t="n"/>
      <c r="F199" s="28" t="n"/>
      <c r="G199" s="28" t="n"/>
      <c r="H199" s="28" t="n"/>
    </row>
    <row r="200">
      <c r="A200" s="28" t="n"/>
      <c r="B200" s="28" t="n"/>
      <c r="C200" s="28" t="n"/>
      <c r="D200" s="28" t="n"/>
      <c r="E200" s="28" t="n"/>
      <c r="F200" s="28" t="n"/>
      <c r="G200" s="28" t="n"/>
      <c r="H200" s="28" t="n"/>
    </row>
    <row r="201">
      <c r="A201" s="28" t="n"/>
      <c r="B201" s="28" t="n"/>
      <c r="C201" s="28" t="n"/>
      <c r="D201" s="28" t="n"/>
      <c r="E201" s="28" t="n"/>
      <c r="F201" s="28" t="n"/>
      <c r="G201" s="28" t="n"/>
      <c r="H201" s="28" t="n"/>
    </row>
    <row r="202">
      <c r="A202" s="28" t="n"/>
      <c r="B202" s="28" t="n"/>
      <c r="C202" s="28" t="n"/>
      <c r="D202" s="28" t="n"/>
      <c r="E202" s="28" t="n"/>
      <c r="F202" s="28" t="n"/>
      <c r="G202" s="28" t="n"/>
      <c r="H202" s="28" t="n"/>
    </row>
    <row r="203">
      <c r="A203" s="28" t="n"/>
      <c r="B203" s="28" t="n"/>
      <c r="C203" s="28" t="n"/>
      <c r="D203" s="28" t="n"/>
      <c r="E203" s="28" t="n"/>
      <c r="F203" s="28" t="n"/>
      <c r="G203" s="28" t="n"/>
      <c r="H203" s="28" t="n"/>
    </row>
    <row r="204">
      <c r="A204" s="28" t="n"/>
      <c r="B204" s="28" t="n"/>
      <c r="C204" s="28" t="n"/>
      <c r="D204" s="28" t="n"/>
      <c r="E204" s="28" t="n"/>
      <c r="F204" s="28" t="n"/>
      <c r="G204" s="28" t="n"/>
      <c r="H204" s="28" t="n"/>
    </row>
    <row r="205">
      <c r="A205" s="28" t="n"/>
      <c r="B205" s="28" t="n"/>
      <c r="C205" s="28" t="n"/>
      <c r="D205" s="28" t="n"/>
      <c r="E205" s="28" t="n"/>
      <c r="F205" s="28" t="n"/>
      <c r="G205" s="28" t="n"/>
      <c r="H205" s="28" t="n"/>
    </row>
    <row r="206">
      <c r="A206" s="28" t="n"/>
      <c r="B206" s="28" t="n"/>
      <c r="C206" s="28" t="n"/>
      <c r="D206" s="28" t="n"/>
      <c r="E206" s="28" t="n"/>
      <c r="F206" s="28" t="n"/>
      <c r="G206" s="28" t="n"/>
      <c r="H206" s="28" t="n"/>
    </row>
    <row r="207">
      <c r="A207" s="28" t="n"/>
      <c r="B207" s="28" t="n"/>
      <c r="C207" s="28" t="n"/>
      <c r="D207" s="28" t="n"/>
      <c r="E207" s="28" t="n"/>
      <c r="F207" s="28" t="n"/>
      <c r="G207" s="28" t="n"/>
      <c r="H207" s="28" t="n"/>
    </row>
    <row r="208">
      <c r="A208" s="28" t="n"/>
      <c r="B208" s="28" t="n"/>
      <c r="C208" s="28" t="n"/>
      <c r="D208" s="28" t="n"/>
      <c r="E208" s="28" t="n"/>
      <c r="F208" s="28" t="n"/>
      <c r="G208" s="28" t="n"/>
      <c r="H208" s="28" t="n"/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</row>
    <row r="210">
      <c r="A210" s="28" t="n"/>
      <c r="B210" s="28" t="n"/>
      <c r="C210" s="28" t="n"/>
      <c r="D210" s="28" t="n"/>
      <c r="E210" s="28" t="n"/>
      <c r="F210" s="28" t="n"/>
      <c r="G210" s="28" t="n"/>
      <c r="H210" s="28" t="n"/>
    </row>
    <row r="211">
      <c r="A211" s="28" t="n"/>
      <c r="B211" s="28" t="n"/>
      <c r="C211" s="28" t="n"/>
      <c r="D211" s="28" t="n"/>
      <c r="E211" s="28" t="n"/>
      <c r="F211" s="28" t="n"/>
      <c r="G211" s="28" t="n"/>
      <c r="H211" s="28" t="n"/>
    </row>
    <row r="212">
      <c r="A212" s="28" t="n"/>
      <c r="B212" s="28" t="n"/>
      <c r="C212" s="28" t="n"/>
      <c r="D212" s="28" t="n"/>
      <c r="E212" s="28" t="n"/>
      <c r="F212" s="28" t="n"/>
      <c r="G212" s="28" t="n"/>
      <c r="H212" s="28" t="n"/>
    </row>
    <row r="213">
      <c r="A213" s="28" t="n"/>
      <c r="B213" s="28" t="n"/>
      <c r="C213" s="28" t="n"/>
      <c r="D213" s="28" t="n"/>
      <c r="E213" s="28" t="n"/>
      <c r="F213" s="28" t="n"/>
      <c r="G213" s="28" t="n"/>
      <c r="H213" s="28" t="n"/>
    </row>
    <row r="214">
      <c r="A214" s="28" t="n"/>
      <c r="B214" s="28" t="n"/>
      <c r="C214" s="28" t="n"/>
      <c r="D214" s="28" t="n"/>
      <c r="E214" s="28" t="n"/>
      <c r="F214" s="28" t="n"/>
      <c r="G214" s="28" t="n"/>
      <c r="H214" s="28" t="n"/>
    </row>
    <row r="215">
      <c r="A215" s="28" t="n"/>
      <c r="B215" s="28" t="n"/>
      <c r="C215" s="28" t="n"/>
      <c r="D215" s="28" t="n"/>
      <c r="E215" s="28" t="n"/>
      <c r="F215" s="28" t="n"/>
      <c r="G215" s="28" t="n"/>
      <c r="H215" s="28" t="n"/>
    </row>
    <row r="216">
      <c r="A216" s="28" t="n"/>
      <c r="B216" s="28" t="n"/>
      <c r="C216" s="28" t="n"/>
      <c r="D216" s="28" t="n"/>
      <c r="E216" s="28" t="n"/>
      <c r="F216" s="28" t="n"/>
      <c r="G216" s="28" t="n"/>
      <c r="H216" s="28" t="n"/>
    </row>
    <row r="217">
      <c r="A217" s="28" t="n"/>
      <c r="B217" s="28" t="n"/>
      <c r="C217" s="28" t="n"/>
      <c r="D217" s="28" t="n"/>
      <c r="E217" s="28" t="n"/>
      <c r="F217" s="28" t="n"/>
      <c r="G217" s="28" t="n"/>
      <c r="H217" s="28" t="n"/>
    </row>
    <row r="218">
      <c r="A218" s="28" t="n"/>
      <c r="B218" s="28" t="n"/>
      <c r="C218" s="28" t="n"/>
      <c r="D218" s="28" t="n"/>
      <c r="E218" s="28" t="n"/>
      <c r="F218" s="28" t="n"/>
      <c r="G218" s="28" t="n"/>
      <c r="H218" s="28" t="n"/>
    </row>
    <row r="219">
      <c r="A219" s="28" t="n"/>
      <c r="B219" s="28" t="n"/>
      <c r="C219" s="28" t="n"/>
      <c r="D219" s="28" t="n"/>
      <c r="E219" s="28" t="n"/>
      <c r="F219" s="28" t="n"/>
      <c r="G219" s="28" t="n"/>
      <c r="H219" s="28" t="n"/>
    </row>
    <row r="220">
      <c r="A220" s="28" t="n"/>
      <c r="B220" s="28" t="n"/>
      <c r="C220" s="28" t="n"/>
      <c r="D220" s="28" t="n"/>
      <c r="E220" s="28" t="n"/>
      <c r="F220" s="28" t="n"/>
      <c r="G220" s="28" t="n"/>
      <c r="H220" s="28" t="n"/>
    </row>
    <row r="221">
      <c r="A221" s="28" t="n"/>
      <c r="B221" s="28" t="n"/>
      <c r="C221" s="28" t="n"/>
      <c r="D221" s="28" t="n"/>
      <c r="E221" s="28" t="n"/>
      <c r="F221" s="28" t="n"/>
      <c r="G221" s="28" t="n"/>
      <c r="H221" s="28" t="n"/>
    </row>
    <row r="222">
      <c r="A222" s="28" t="n"/>
      <c r="B222" s="28" t="n"/>
      <c r="C222" s="28" t="n"/>
      <c r="D222" s="28" t="n"/>
      <c r="E222" s="28" t="n"/>
      <c r="F222" s="28" t="n"/>
      <c r="G222" s="28" t="n"/>
      <c r="H222" s="28" t="n"/>
    </row>
    <row r="223">
      <c r="A223" s="28" t="n"/>
      <c r="B223" s="28" t="n"/>
      <c r="C223" s="28" t="n"/>
      <c r="D223" s="28" t="n"/>
      <c r="E223" s="28" t="n"/>
      <c r="F223" s="28" t="n"/>
      <c r="G223" s="28" t="n"/>
      <c r="H223" s="28" t="n"/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</row>
    <row r="225">
      <c r="A225" s="28" t="n"/>
      <c r="B225" s="28" t="n"/>
      <c r="C225" s="28" t="n"/>
      <c r="D225" s="28" t="n"/>
      <c r="E225" s="28" t="n"/>
      <c r="F225" s="28" t="n"/>
      <c r="G225" s="28" t="n"/>
      <c r="H225" s="28" t="n"/>
    </row>
    <row r="226">
      <c r="A226" s="28" t="n"/>
      <c r="B226" s="28" t="n"/>
      <c r="C226" s="28" t="n"/>
      <c r="D226" s="28" t="n"/>
      <c r="E226" s="28" t="n"/>
      <c r="F226" s="28" t="n"/>
      <c r="G226" s="28" t="n"/>
      <c r="H226" s="28" t="n"/>
    </row>
    <row r="227">
      <c r="A227" s="28" t="n"/>
      <c r="B227" s="28" t="n"/>
      <c r="C227" s="28" t="n"/>
      <c r="D227" s="28" t="n"/>
      <c r="E227" s="28" t="n"/>
      <c r="F227" s="28" t="n"/>
      <c r="G227" s="28" t="n"/>
      <c r="H227" s="28" t="n"/>
    </row>
    <row r="228">
      <c r="A228" s="28" t="n"/>
      <c r="B228" s="28" t="n"/>
      <c r="C228" s="28" t="n"/>
      <c r="D228" s="28" t="n"/>
      <c r="E228" s="28" t="n"/>
      <c r="F228" s="28" t="n"/>
      <c r="G228" s="28" t="n"/>
      <c r="H228" s="28" t="n"/>
    </row>
    <row r="229">
      <c r="A229" s="28" t="n"/>
      <c r="B229" s="28" t="n"/>
      <c r="C229" s="28" t="n"/>
      <c r="D229" s="28" t="n"/>
      <c r="E229" s="28" t="n"/>
      <c r="F229" s="28" t="n"/>
      <c r="G229" s="28" t="n"/>
      <c r="H229" s="28" t="n"/>
    </row>
    <row r="230">
      <c r="A230" s="28" t="n"/>
      <c r="B230" s="28" t="n"/>
      <c r="C230" s="28" t="n"/>
      <c r="D230" s="28" t="n"/>
      <c r="E230" s="28" t="n"/>
      <c r="F230" s="28" t="n"/>
      <c r="G230" s="28" t="n"/>
      <c r="H230" s="28" t="n"/>
    </row>
    <row r="231">
      <c r="A231" s="28" t="n"/>
      <c r="B231" s="28" t="n"/>
      <c r="C231" s="28" t="n"/>
      <c r="D231" s="28" t="n"/>
      <c r="E231" s="28" t="n"/>
      <c r="F231" s="28" t="n"/>
      <c r="G231" s="28" t="n"/>
      <c r="H231" s="28" t="n"/>
    </row>
    <row r="232">
      <c r="A232" s="28" t="n"/>
      <c r="B232" s="28" t="n"/>
      <c r="C232" s="28" t="n"/>
      <c r="D232" s="28" t="n"/>
      <c r="E232" s="28" t="n"/>
      <c r="F232" s="28" t="n"/>
      <c r="G232" s="28" t="n"/>
      <c r="H232" s="28" t="n"/>
    </row>
    <row r="233">
      <c r="A233" s="28" t="n"/>
      <c r="B233" s="28" t="n"/>
      <c r="C233" s="28" t="n"/>
      <c r="D233" s="28" t="n"/>
      <c r="E233" s="28" t="n"/>
      <c r="F233" s="28" t="n"/>
      <c r="G233" s="28" t="n"/>
      <c r="H233" s="28" t="n"/>
    </row>
    <row r="234">
      <c r="A234" s="28" t="n"/>
      <c r="B234" s="28" t="n"/>
      <c r="C234" s="28" t="n"/>
      <c r="D234" s="28" t="n"/>
      <c r="E234" s="28" t="n"/>
      <c r="F234" s="28" t="n"/>
      <c r="G234" s="28" t="n"/>
      <c r="H234" s="28" t="n"/>
    </row>
    <row r="235">
      <c r="A235" s="28" t="n"/>
      <c r="B235" s="28" t="n"/>
      <c r="C235" s="28" t="n"/>
      <c r="D235" s="28" t="n"/>
      <c r="E235" s="28" t="n"/>
      <c r="F235" s="28" t="n"/>
      <c r="G235" s="28" t="n"/>
      <c r="H235" s="28" t="n"/>
    </row>
    <row r="236">
      <c r="A236" s="28" t="n"/>
      <c r="B236" s="28" t="n"/>
      <c r="C236" s="28" t="n"/>
      <c r="D236" s="28" t="n"/>
      <c r="E236" s="28" t="n"/>
      <c r="F236" s="28" t="n"/>
      <c r="G236" s="28" t="n"/>
      <c r="H236" s="28" t="n"/>
    </row>
    <row r="237">
      <c r="A237" s="28" t="n"/>
      <c r="B237" s="28" t="n"/>
      <c r="C237" s="28" t="n"/>
      <c r="D237" s="28" t="n"/>
      <c r="E237" s="28" t="n"/>
      <c r="F237" s="28" t="n"/>
      <c r="G237" s="28" t="n"/>
      <c r="H237" s="28" t="n"/>
    </row>
    <row r="238">
      <c r="A238" s="28" t="n"/>
      <c r="B238" s="28" t="n"/>
      <c r="C238" s="28" t="n"/>
      <c r="D238" s="28" t="n"/>
      <c r="E238" s="28" t="n"/>
      <c r="F238" s="28" t="n"/>
      <c r="G238" s="28" t="n"/>
      <c r="H238" s="28" t="n"/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</row>
    <row r="240">
      <c r="A240" s="28" t="n"/>
      <c r="B240" s="28" t="n"/>
      <c r="C240" s="28" t="n"/>
      <c r="D240" s="28" t="n"/>
      <c r="E240" s="28" t="n"/>
      <c r="F240" s="28" t="n"/>
      <c r="G240" s="28" t="n"/>
      <c r="H240" s="28" t="n"/>
    </row>
    <row r="241">
      <c r="A241" s="28" t="n"/>
      <c r="B241" s="28" t="n"/>
      <c r="C241" s="28" t="n"/>
      <c r="D241" s="28" t="n"/>
      <c r="E241" s="28" t="n"/>
      <c r="F241" s="28" t="n"/>
      <c r="G241" s="28" t="n"/>
      <c r="H241" s="28" t="n"/>
    </row>
    <row r="242">
      <c r="A242" s="28" t="n"/>
      <c r="B242" s="28" t="n"/>
      <c r="C242" s="28" t="n"/>
      <c r="D242" s="28" t="n"/>
      <c r="E242" s="28" t="n"/>
      <c r="F242" s="28" t="n"/>
      <c r="G242" s="28" t="n"/>
      <c r="H242" s="28" t="n"/>
    </row>
    <row r="243">
      <c r="A243" s="28" t="n"/>
      <c r="B243" s="28" t="n"/>
      <c r="C243" s="28" t="n"/>
      <c r="D243" s="28" t="n"/>
      <c r="E243" s="28" t="n"/>
      <c r="F243" s="28" t="n"/>
      <c r="G243" s="28" t="n"/>
      <c r="H243" s="28" t="n"/>
    </row>
    <row r="244">
      <c r="A244" s="28" t="n"/>
      <c r="B244" s="28" t="n"/>
      <c r="C244" s="28" t="n"/>
      <c r="D244" s="28" t="n"/>
      <c r="E244" s="28" t="n"/>
      <c r="F244" s="28" t="n"/>
      <c r="G244" s="28" t="n"/>
      <c r="H244" s="28" t="n"/>
    </row>
    <row r="245">
      <c r="A245" s="28" t="n"/>
      <c r="B245" s="28" t="n"/>
      <c r="C245" s="28" t="n"/>
      <c r="D245" s="28" t="n"/>
      <c r="E245" s="28" t="n"/>
      <c r="F245" s="28" t="n"/>
      <c r="G245" s="28" t="n"/>
      <c r="H245" s="28" t="n"/>
    </row>
    <row r="246">
      <c r="A246" s="28" t="n"/>
      <c r="B246" s="28" t="n"/>
      <c r="C246" s="28" t="n"/>
      <c r="D246" s="28" t="n"/>
      <c r="E246" s="28" t="n"/>
      <c r="F246" s="28" t="n"/>
      <c r="G246" s="28" t="n"/>
      <c r="H246" s="28" t="n"/>
    </row>
    <row r="247">
      <c r="A247" s="28" t="n"/>
      <c r="B247" s="28" t="n"/>
      <c r="C247" s="28" t="n"/>
      <c r="D247" s="28" t="n"/>
      <c r="E247" s="28" t="n"/>
      <c r="F247" s="28" t="n"/>
      <c r="G247" s="28" t="n"/>
      <c r="H247" s="28" t="n"/>
    </row>
    <row r="248">
      <c r="A248" s="28" t="n"/>
      <c r="B248" s="28" t="n"/>
      <c r="C248" s="28" t="n"/>
      <c r="D248" s="28" t="n"/>
      <c r="E248" s="28" t="n"/>
      <c r="F248" s="28" t="n"/>
      <c r="G248" s="28" t="n"/>
      <c r="H248" s="28" t="n"/>
    </row>
    <row r="249">
      <c r="A249" s="28" t="n"/>
      <c r="B249" s="28" t="n"/>
      <c r="C249" s="28" t="n"/>
      <c r="D249" s="28" t="n"/>
      <c r="E249" s="28" t="n"/>
      <c r="F249" s="28" t="n"/>
      <c r="G249" s="28" t="n"/>
      <c r="H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</row>
  </sheetData>
  <conditionalFormatting sqref="A2:H5000">
    <cfRule type="expression" priority="1" dxfId="0">
      <formula>$H2="Pago"</formula>
    </cfRule>
    <cfRule type="expression" priority="2" dxfId="0">
      <formula>$H2="Recebido"</formula>
    </cfRule>
    <cfRule type="expression" priority="3" dxfId="1">
      <formula>$H2="A Pagar"</formula>
    </cfRule>
    <cfRule type="expression" priority="4" dxfId="2">
      <formula>$H2="A Receber"</formula>
    </cfRule>
  </conditionalFormatting>
  <dataValidations count="4">
    <dataValidation sqref="A2:A5000" showDropDown="0" showInputMessage="0" showErrorMessage="0" allowBlank="0" type="list">
      <formula1>"Receita,Despesa"</formula1>
    </dataValidation>
    <dataValidation sqref="H2:H5000" showDropDown="0" showInputMessage="0" showErrorMessage="0" allowBlank="0" type="list">
      <formula1>"A Pagar,Pago,A Receber,Recebido"</formula1>
    </dataValidation>
    <dataValidation sqref="F2:F5000" showDropDown="0" showInputMessage="0" showErrorMessage="0" allowBlank="0" type="list">
      <formula1>"1,2"</formula1>
    </dataValidation>
    <dataValidation sqref="E2:E5000" showDropDown="0" showInputMessage="0" showErrorMessage="0" allowBlank="0" type="list">
      <formula1>"Will,Sá,Ambos"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6" customHeight="1">
      <c r="A1" s="55" t="inlineStr">
        <is>
          <t>💳  CONTROLE DE CARTÕES</t>
        </is>
      </c>
    </row>
    <row r="2" ht="22" customHeight="1">
      <c r="A2" s="22" t="inlineStr">
        <is>
          <t>Titular</t>
        </is>
      </c>
      <c r="B2" s="22" t="inlineStr">
        <is>
          <t>Cartão</t>
        </is>
      </c>
      <c r="C2" s="22" t="inlineStr">
        <is>
          <t>Vencimento</t>
        </is>
      </c>
      <c r="D2" s="22" t="inlineStr">
        <is>
          <t>Limite</t>
        </is>
      </c>
      <c r="E2" s="22" t="inlineStr">
        <is>
          <t>Fatura Atual</t>
        </is>
      </c>
      <c r="F2" s="22" t="inlineStr">
        <is>
          <t>Disponível</t>
        </is>
      </c>
    </row>
    <row r="3">
      <c r="A3" s="56" t="inlineStr">
        <is>
          <t>Will</t>
        </is>
      </c>
      <c r="B3" s="56" t="inlineStr">
        <is>
          <t>Nubank</t>
        </is>
      </c>
      <c r="C3" s="56" t="n">
        <v>5</v>
      </c>
      <c r="D3" s="57" t="n">
        <v>15000</v>
      </c>
      <c r="E3" s="57" t="n">
        <v>0</v>
      </c>
      <c r="F3" s="57">
        <f>D3-E3</f>
        <v/>
      </c>
    </row>
    <row r="4">
      <c r="A4" s="56" t="inlineStr">
        <is>
          <t>Sá</t>
        </is>
      </c>
      <c r="B4" s="56" t="inlineStr">
        <is>
          <t>Itaú</t>
        </is>
      </c>
      <c r="C4" s="56" t="n">
        <v>10</v>
      </c>
      <c r="D4" s="57" t="n">
        <v>8000</v>
      </c>
      <c r="E4" s="57" t="n">
        <v>0</v>
      </c>
      <c r="F4" s="57">
        <f>D4-E4</f>
        <v/>
      </c>
    </row>
    <row r="5">
      <c r="A5" s="56" t="inlineStr">
        <is>
          <t>Ambos</t>
        </is>
      </c>
      <c r="B5" s="56" t="inlineStr">
        <is>
          <t>Inter</t>
        </is>
      </c>
      <c r="C5" s="56" t="n">
        <v>15</v>
      </c>
      <c r="D5" s="57" t="n">
        <v>12000</v>
      </c>
      <c r="E5" s="57" t="n">
        <v>0</v>
      </c>
      <c r="F5" s="57">
        <f>D5-E5</f>
        <v/>
      </c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5" t="n"/>
      <c r="C34" s="5" t="n"/>
      <c r="D34" s="5" t="n"/>
      <c r="E34" s="5" t="n"/>
      <c r="F34" s="5" t="n"/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  <row r="40">
      <c r="A40" s="5" t="n"/>
      <c r="B40" s="5" t="n"/>
      <c r="C40" s="5" t="n"/>
      <c r="D40" s="5" t="n"/>
      <c r="E40" s="5" t="n"/>
      <c r="F40" s="5" t="n"/>
    </row>
    <row r="41">
      <c r="A41" s="5" t="n"/>
      <c r="B41" s="5" t="n"/>
      <c r="C41" s="5" t="n"/>
      <c r="D41" s="5" t="n"/>
      <c r="E41" s="5" t="n"/>
      <c r="F41" s="5" t="n"/>
    </row>
    <row r="42">
      <c r="A42" s="5" t="n"/>
      <c r="B42" s="5" t="n"/>
      <c r="C42" s="5" t="n"/>
      <c r="D42" s="5" t="n"/>
      <c r="E42" s="5" t="n"/>
      <c r="F42" s="5" t="n"/>
    </row>
    <row r="43">
      <c r="A43" s="5" t="n"/>
      <c r="B43" s="5" t="n"/>
      <c r="C43" s="5" t="n"/>
      <c r="D43" s="5" t="n"/>
      <c r="E43" s="5" t="n"/>
      <c r="F43" s="5" t="n"/>
    </row>
    <row r="44">
      <c r="A44" s="5" t="n"/>
      <c r="B44" s="5" t="n"/>
      <c r="C44" s="5" t="n"/>
      <c r="D44" s="5" t="n"/>
      <c r="E44" s="5" t="n"/>
      <c r="F44" s="5" t="n"/>
    </row>
    <row r="45">
      <c r="A45" s="5" t="n"/>
      <c r="B45" s="5" t="n"/>
      <c r="C45" s="5" t="n"/>
      <c r="D45" s="5" t="n"/>
      <c r="E45" s="5" t="n"/>
      <c r="F45" s="5" t="n"/>
    </row>
    <row r="46">
      <c r="A46" s="5" t="n"/>
      <c r="B46" s="5" t="n"/>
      <c r="C46" s="5" t="n"/>
      <c r="D46" s="5" t="n"/>
      <c r="E46" s="5" t="n"/>
      <c r="F46" s="5" t="n"/>
    </row>
    <row r="47">
      <c r="A47" s="5" t="n"/>
      <c r="B47" s="5" t="n"/>
      <c r="C47" s="5" t="n"/>
      <c r="D47" s="5" t="n"/>
      <c r="E47" s="5" t="n"/>
      <c r="F47" s="5" t="n"/>
    </row>
    <row r="48">
      <c r="A48" s="5" t="n"/>
      <c r="B48" s="5" t="n"/>
      <c r="C48" s="5" t="n"/>
      <c r="D48" s="5" t="n"/>
      <c r="E48" s="5" t="n"/>
      <c r="F48" s="5" t="n"/>
    </row>
    <row r="49">
      <c r="A49" s="5" t="n"/>
      <c r="B49" s="5" t="n"/>
      <c r="C49" s="5" t="n"/>
      <c r="D49" s="5" t="n"/>
      <c r="E49" s="5" t="n"/>
      <c r="F49" s="5" t="n"/>
    </row>
    <row r="50">
      <c r="A50" s="5" t="n"/>
      <c r="B50" s="5" t="n"/>
      <c r="C50" s="5" t="n"/>
      <c r="D50" s="5" t="n"/>
      <c r="E50" s="5" t="n"/>
      <c r="F50" s="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A5A6"/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30" customHeight="1">
      <c r="A1" s="58" t="inlineStr">
        <is>
          <t>⚙️  CATEGORIAS</t>
        </is>
      </c>
    </row>
    <row r="2" ht="22" customHeight="1">
      <c r="A2" s="22" t="inlineStr">
        <is>
          <t>Categoria</t>
        </is>
      </c>
      <c r="B2" s="5" t="n"/>
      <c r="C2" s="5" t="n"/>
    </row>
    <row r="3">
      <c r="A3" s="52" t="inlineStr">
        <is>
          <t>Salário</t>
        </is>
      </c>
      <c r="B3" s="5" t="n"/>
      <c r="C3" s="5" t="n"/>
    </row>
    <row r="4">
      <c r="A4" s="59" t="inlineStr">
        <is>
          <t>Renda Extra</t>
        </is>
      </c>
      <c r="B4" s="5" t="n"/>
      <c r="C4" s="5" t="n"/>
    </row>
    <row r="5">
      <c r="A5" s="52" t="inlineStr">
        <is>
          <t>13° Salário</t>
        </is>
      </c>
      <c r="B5" s="5" t="n"/>
      <c r="C5" s="5" t="n"/>
    </row>
    <row r="6">
      <c r="A6" s="59" t="inlineStr">
        <is>
          <t>PLR</t>
        </is>
      </c>
      <c r="B6" s="5" t="n"/>
      <c r="C6" s="5" t="n"/>
    </row>
    <row r="7">
      <c r="A7" s="52" t="inlineStr">
        <is>
          <t>Férias</t>
        </is>
      </c>
      <c r="B7" s="5" t="n"/>
      <c r="C7" s="5" t="n"/>
    </row>
    <row r="8">
      <c r="A8" s="59" t="inlineStr">
        <is>
          <t>Aluguel</t>
        </is>
      </c>
      <c r="B8" s="5" t="n"/>
      <c r="C8" s="5" t="n"/>
    </row>
    <row r="9">
      <c r="A9" s="52" t="inlineStr">
        <is>
          <t>Alimentação</t>
        </is>
      </c>
      <c r="B9" s="5" t="n"/>
      <c r="C9" s="5" t="n"/>
    </row>
    <row r="10">
      <c r="A10" s="59" t="inlineStr">
        <is>
          <t>Transporte</t>
        </is>
      </c>
      <c r="B10" s="5" t="n"/>
      <c r="C10" s="5" t="n"/>
    </row>
    <row r="11">
      <c r="A11" s="52" t="inlineStr">
        <is>
          <t>Saúde</t>
        </is>
      </c>
      <c r="B11" s="5" t="n"/>
      <c r="C11" s="5" t="n"/>
    </row>
    <row r="12">
      <c r="A12" s="59" t="inlineStr">
        <is>
          <t>Lazer</t>
        </is>
      </c>
      <c r="B12" s="5" t="n"/>
      <c r="C12" s="5" t="n"/>
    </row>
    <row r="13">
      <c r="A13" s="52" t="inlineStr">
        <is>
          <t>Cartões</t>
        </is>
      </c>
      <c r="B13" s="5" t="n"/>
      <c r="C13" s="5" t="n"/>
    </row>
    <row r="14">
      <c r="A14" s="59" t="inlineStr">
        <is>
          <t>Celular</t>
        </is>
      </c>
      <c r="B14" s="5" t="n"/>
      <c r="C14" s="5" t="n"/>
    </row>
    <row r="15">
      <c r="A15" s="52" t="inlineStr">
        <is>
          <t>Internet</t>
        </is>
      </c>
      <c r="B15" s="5" t="n"/>
      <c r="C15" s="5" t="n"/>
    </row>
    <row r="16">
      <c r="A16" s="59" t="inlineStr">
        <is>
          <t>Luz</t>
        </is>
      </c>
      <c r="B16" s="5" t="n"/>
      <c r="C16" s="5" t="n"/>
    </row>
    <row r="17">
      <c r="A17" s="52" t="inlineStr">
        <is>
          <t>Água</t>
        </is>
      </c>
      <c r="B17" s="5" t="n"/>
      <c r="C17" s="5" t="n"/>
    </row>
    <row r="18">
      <c r="A18" s="59" t="inlineStr">
        <is>
          <t>Outros</t>
        </is>
      </c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2026-07-06T13:27:06Z</dcterms:created>
  <dcterms:modified xsi:type="dcterms:W3CDTF">2026-07-06T13:27:06Z</dcterms:modified>
</cp:coreProperties>
</file>