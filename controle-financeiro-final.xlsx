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ncamentos" sheetId="2" state="visible" r:id="rId2"/>
    <sheet name="Cartoes" sheetId="3" state="visible" r:id="rId3"/>
    <sheet name="Config" sheetId="4" state="visible" r:id="rId4"/>
  </sheets>
  <definedNames>
    <definedName name="_xlnm._FilterDatabase" localSheetId="1" hidden="1">'Lancamentos'!$A$1:$H$1</definedName>
    <definedName name="_xlnm._FilterDatabase" localSheetId="2" hidden="1">'Cartoes'!$A$1:$E$1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R$ #,##0.00"/>
    <numFmt numFmtId="165" formatCode="0.0%"/>
    <numFmt numFmtId="166" formatCode="dd/mm/yyyy"/>
  </numFmts>
  <fonts count="30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1"/>
    </font>
    <font>
      <b val="1"/>
      <color rgb="00FFFFFF"/>
      <sz val="16"/>
    </font>
    <font>
      <b val="1"/>
    </font>
    <font>
      <b val="1"/>
      <sz val="13"/>
    </font>
    <font>
      <i val="1"/>
      <color rgb="002980B9"/>
      <sz val="12"/>
    </font>
    <font>
      <b val="1"/>
      <color rgb="0027AE60"/>
      <sz val="11"/>
    </font>
    <font>
      <b val="1"/>
      <color rgb="00E74C3C"/>
      <sz val="11"/>
    </font>
    <font>
      <b val="1"/>
      <color rgb="002980B9"/>
      <sz val="11"/>
    </font>
    <font>
      <b val="1"/>
      <color rgb="0027AE60"/>
      <sz val="16"/>
    </font>
    <font>
      <b val="1"/>
      <color rgb="00E74C3C"/>
      <sz val="16"/>
    </font>
    <font>
      <b val="1"/>
      <color rgb="002980B9"/>
      <sz val="16"/>
    </font>
    <font>
      <b val="1"/>
      <color rgb="0034495E"/>
      <sz val="9"/>
    </font>
    <font>
      <sz val="10"/>
    </font>
    <font>
      <b val="1"/>
      <color rgb="001E8449"/>
      <sz val="10"/>
    </font>
    <font>
      <b val="1"/>
      <color rgb="00E74C3C"/>
      <sz val="10"/>
    </font>
    <font>
      <b val="1"/>
      <color rgb="002980B9"/>
      <sz val="10"/>
    </font>
    <font>
      <sz val="9"/>
    </font>
    <font>
      <color rgb="0034495E"/>
      <sz val="9"/>
    </font>
    <font>
      <b val="1"/>
      <color rgb="00B7950B"/>
      <sz val="10"/>
    </font>
    <font>
      <b val="1"/>
      <color rgb="00B7950B"/>
      <sz val="11"/>
    </font>
    <font>
      <b val="1"/>
      <color rgb="001E8449"/>
      <sz val="11"/>
    </font>
    <font>
      <b val="1"/>
      <color rgb="001B2A4A"/>
      <sz val="10"/>
    </font>
    <font>
      <b val="1"/>
      <color rgb="001B2A4A"/>
      <sz val="11"/>
    </font>
    <font>
      <b val="1"/>
      <color rgb="001B2A4A"/>
      <sz val="9"/>
    </font>
    <font>
      <b val="1"/>
      <color rgb="00FFFFFF"/>
      <sz val="9"/>
    </font>
    <font>
      <i val="1"/>
      <color rgb="00888888"/>
      <sz val="9"/>
    </font>
    <font>
      <b val="1"/>
      <color rgb="001B2A4A"/>
      <sz val="22"/>
    </font>
    <font>
      <i val="1"/>
      <color rgb="005F6368"/>
      <sz val="10"/>
    </font>
  </fonts>
  <fills count="12">
    <fill>
      <patternFill/>
    </fill>
    <fill>
      <patternFill patternType="gray125"/>
    </fill>
    <fill>
      <patternFill patternType="solid">
        <fgColor rgb="0034495E"/>
      </patternFill>
    </fill>
    <fill>
      <patternFill patternType="solid">
        <fgColor rgb="001B2A4A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0F2F5"/>
      </patternFill>
    </fill>
    <fill>
      <patternFill patternType="solid">
        <fgColor rgb="00FFFDE7"/>
      </patternFill>
    </fill>
    <fill>
      <patternFill patternType="solid">
        <fgColor rgb="00F1C40F"/>
      </patternFill>
    </fill>
    <fill>
      <patternFill patternType="solid">
        <fgColor rgb="0027AE60"/>
      </patternFill>
    </fill>
    <fill>
      <patternFill patternType="solid">
        <fgColor rgb="00E74C3C"/>
      </patternFill>
    </fill>
  </fills>
  <borders count="7">
    <border>
      <left/>
      <right/>
      <top/>
      <bottom/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D5D8DC"/>
      </top>
      <bottom/>
      <diagonal/>
    </border>
    <border>
      <left/>
      <right style="thin">
        <color rgb="00D5D8DC"/>
      </right>
      <top style="thin">
        <color rgb="00D5D8DC"/>
      </top>
      <bottom/>
      <diagonal/>
    </border>
    <border>
      <left/>
      <right/>
      <top style="thin">
        <color rgb="00D5D8DC"/>
      </top>
      <bottom style="thin">
        <color rgb="00D5D8DC"/>
      </bottom>
      <diagonal/>
    </border>
    <border>
      <left/>
      <right style="thin">
        <color rgb="00D5D8DC"/>
      </right>
      <top style="thin">
        <color rgb="00D5D8DC"/>
      </top>
      <bottom style="thin">
        <color rgb="00D5D8DC"/>
      </bottom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3" fillId="3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pivotButton="0" quotePrefix="0" xfId="0"/>
    <xf numFmtId="0" fontId="7" fillId="5" borderId="1" applyAlignment="1" pivotButton="0" quotePrefix="0" xfId="0">
      <alignment vertical="center"/>
    </xf>
    <xf numFmtId="164" fontId="10" fillId="5" borderId="1" applyAlignment="1" pivotButton="0" quotePrefix="0" xfId="0">
      <alignment horizontal="right" vertical="center"/>
    </xf>
    <xf numFmtId="0" fontId="8" fillId="6" borderId="1" applyAlignment="1" pivotButton="0" quotePrefix="0" xfId="0">
      <alignment vertical="center"/>
    </xf>
    <xf numFmtId="164" fontId="11" fillId="6" borderId="1" applyAlignment="1" pivotButton="0" quotePrefix="0" xfId="0">
      <alignment horizontal="right" vertical="center"/>
    </xf>
    <xf numFmtId="0" fontId="9" fillId="4" borderId="1" applyAlignment="1" pivotButton="0" quotePrefix="0" xfId="0">
      <alignment vertical="center"/>
    </xf>
    <xf numFmtId="164" fontId="12" fillId="4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/>
    </xf>
    <xf numFmtId="0" fontId="18" fillId="0" borderId="1" pivotButton="0" quotePrefix="0" xfId="0"/>
    <xf numFmtId="4" fontId="18" fillId="0" borderId="1" applyAlignment="1" pivotButton="0" quotePrefix="0" xfId="0">
      <alignment horizontal="right"/>
    </xf>
    <xf numFmtId="9" fontId="19" fillId="0" borderId="1" applyAlignment="1" pivotButton="0" quotePrefix="0" xfId="0">
      <alignment horizontal="center"/>
    </xf>
    <xf numFmtId="0" fontId="20" fillId="8" borderId="1" applyAlignment="1" pivotButton="0" quotePrefix="0" xfId="0">
      <alignment vertical="center"/>
    </xf>
    <xf numFmtId="4" fontId="21" fillId="8" borderId="1" applyAlignment="1" pivotButton="0" quotePrefix="0" xfId="0">
      <alignment horizontal="right" vertical="center"/>
    </xf>
    <xf numFmtId="0" fontId="14" fillId="0" borderId="1" pivotButton="0" quotePrefix="0" xfId="0"/>
    <xf numFmtId="4" fontId="14" fillId="0" borderId="1" applyAlignment="1" pivotButton="0" quotePrefix="0" xfId="0">
      <alignment horizontal="right"/>
    </xf>
    <xf numFmtId="0" fontId="15" fillId="5" borderId="1" applyAlignment="1" pivotButton="0" quotePrefix="0" xfId="0">
      <alignment vertical="center"/>
    </xf>
    <xf numFmtId="4" fontId="22" fillId="5" borderId="1" applyAlignment="1" pivotButton="0" quotePrefix="0" xfId="0">
      <alignment horizontal="right" vertical="center"/>
    </xf>
    <xf numFmtId="0" fontId="16" fillId="6" borderId="1" applyAlignment="1" pivotButton="0" quotePrefix="0" xfId="0">
      <alignment vertical="center"/>
    </xf>
    <xf numFmtId="4" fontId="8" fillId="6" borderId="1" applyAlignment="1" pivotButton="0" quotePrefix="0" xfId="0">
      <alignment horizontal="right" vertical="center"/>
    </xf>
    <xf numFmtId="0" fontId="15" fillId="5" borderId="1" pivotButton="0" quotePrefix="0" xfId="0"/>
    <xf numFmtId="4" fontId="15" fillId="5" borderId="1" applyAlignment="1" pivotButton="0" quotePrefix="0" xfId="0">
      <alignment horizontal="right"/>
    </xf>
    <xf numFmtId="0" fontId="16" fillId="6" borderId="1" pivotButton="0" quotePrefix="0" xfId="0"/>
    <xf numFmtId="4" fontId="16" fillId="6" borderId="1" applyAlignment="1" pivotButton="0" quotePrefix="0" xfId="0">
      <alignment horizontal="right"/>
    </xf>
    <xf numFmtId="0" fontId="17" fillId="4" borderId="1" applyAlignment="1" pivotButton="0" quotePrefix="0" xfId="0">
      <alignment vertical="center"/>
    </xf>
    <xf numFmtId="165" fontId="9" fillId="4" borderId="1" applyAlignment="1" pivotButton="0" quotePrefix="0" xfId="0">
      <alignment horizontal="right" vertical="center"/>
    </xf>
    <xf numFmtId="0" fontId="17" fillId="4" borderId="1" pivotButton="0" quotePrefix="0" xfId="0"/>
    <xf numFmtId="4" fontId="17" fillId="4" borderId="1" applyAlignment="1" pivotButton="0" quotePrefix="0" xfId="0">
      <alignment horizontal="right"/>
    </xf>
    <xf numFmtId="0" fontId="23" fillId="7" borderId="1" applyAlignment="1" pivotButton="0" quotePrefix="0" xfId="0">
      <alignment vertical="center"/>
    </xf>
    <xf numFmtId="49" fontId="24" fillId="7" borderId="1" applyAlignment="1" pivotButton="0" quotePrefix="0" xfId="0">
      <alignment horizontal="right" vertical="center"/>
    </xf>
    <xf numFmtId="1" fontId="24" fillId="7" borderId="1" applyAlignment="1" pivotButton="0" quotePrefix="0" xfId="0">
      <alignment horizontal="right" vertical="center"/>
    </xf>
    <xf numFmtId="0" fontId="25" fillId="9" borderId="0" applyAlignment="1" pivotButton="0" quotePrefix="0" xfId="0">
      <alignment horizontal="center" vertical="center"/>
    </xf>
    <xf numFmtId="0" fontId="26" fillId="10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0" fillId="0" borderId="2" pivotButton="0" quotePrefix="0" xfId="0"/>
    <xf numFmtId="166" fontId="0" fillId="0" borderId="2" pivotButton="0" quotePrefix="0" xfId="0"/>
    <xf numFmtId="4" fontId="0" fillId="0" borderId="2" pivotButton="0" quotePrefix="0" xfId="0"/>
    <xf numFmtId="4" fontId="0" fillId="0" borderId="0" pivotButton="0" quotePrefix="0" xfId="0"/>
    <xf numFmtId="166" fontId="0" fillId="0" borderId="0" pivotButton="0" quotePrefix="0" xfId="0"/>
    <xf numFmtId="0" fontId="1" fillId="2" borderId="0" pivotButton="0" quotePrefix="0" xfId="0"/>
    <xf numFmtId="0" fontId="28" fillId="7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center" vertical="center"/>
    </xf>
    <xf numFmtId="164" fontId="10" fillId="5" borderId="1" applyAlignment="1" pivotButton="0" quotePrefix="0" xfId="0">
      <alignment horizontal="right" vertical="center"/>
    </xf>
    <xf numFmtId="0" fontId="0" fillId="0" borderId="5" pivotButton="0" quotePrefix="0" xfId="0"/>
    <xf numFmtId="0" fontId="0" fillId="0" borderId="6" pivotButton="0" quotePrefix="0" xfId="0"/>
    <xf numFmtId="164" fontId="11" fillId="6" borderId="1" applyAlignment="1" pivotButton="0" quotePrefix="0" xfId="0">
      <alignment horizontal="right" vertical="center"/>
    </xf>
    <xf numFmtId="164" fontId="12" fillId="4" borderId="1" applyAlignment="1" pivotButton="0" quotePrefix="0" xfId="0">
      <alignment horizontal="right" vertical="center"/>
    </xf>
    <xf numFmtId="165" fontId="9" fillId="4" borderId="1" applyAlignment="1" pivotButton="0" quotePrefix="0" xfId="0">
      <alignment horizontal="right" vertical="center"/>
    </xf>
    <xf numFmtId="166" fontId="0" fillId="0" borderId="2" pivotButton="0" quotePrefix="0" xfId="0"/>
    <xf numFmtId="166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1C40F"/>
        </patternFill>
      </fill>
    </dxf>
    <dxf>
      <fill>
        <patternFill patternType="solid">
          <fgColor rgb="0027AE60"/>
        </patternFill>
      </fill>
    </dxf>
    <dxf>
      <fill>
        <patternFill patternType="solid">
          <fgColor rgb="00E74C3C"/>
        </patternFill>
      </fill>
    </dxf>
    <dxf>
      <font>
        <b val="1"/>
        <color rgb="001E8449"/>
      </font>
    </dxf>
    <dxf>
      <font>
        <b val="1"/>
        <color rgb="00E74C3C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980B9"/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3" customWidth="1" min="5" max="5"/>
    <col width="16" customWidth="1" min="6" max="6"/>
    <col width="12" customWidth="1" min="7" max="7"/>
    <col width="8" customWidth="1" min="8" max="8"/>
    <col width="3" customWidth="1" min="9" max="9"/>
    <col width="14" customWidth="1" min="10" max="10"/>
    <col width="12" customWidth="1" min="11" max="11"/>
  </cols>
  <sheetData>
    <row r="1" ht="36" customHeight="1">
      <c r="A1" s="1" t="inlineStr">
        <is>
          <t>CONTROLE FINANCEIRO — WILL &amp; SÁ</t>
        </is>
      </c>
    </row>
    <row r="2">
      <c r="A2" s="2" t="inlineStr">
        <is>
          <t>Mês:</t>
        </is>
      </c>
      <c r="B2" s="3" t="n">
        <v>7</v>
      </c>
      <c r="C2" s="4">
        <f>INDEX(Config!$J$2:$J$13,B2)</f>
        <v/>
      </c>
      <c r="D2" s="46">
        <f>UPPER(INDEX(Config!$J$2:$J$13,B2))&amp;"  "&amp;B3</f>
        <v/>
      </c>
    </row>
    <row r="3">
      <c r="A3" s="2" t="inlineStr">
        <is>
          <t>Ano:</t>
        </is>
      </c>
      <c r="B3" s="3" t="n">
        <v>2026</v>
      </c>
      <c r="D3" s="47">
        <f>IF(B5&gt;0,"Renda: R$ "&amp;TEXT(B5,"#.##0")&amp;"  |  Gasto: R$ "&amp;TEXT(G5,"#.##0")&amp;"  |  Sobra: "&amp;TEXT(IFERROR(K5/B5,0),"0%"),"Nenhum lançamento neste mês")</f>
        <v/>
      </c>
    </row>
    <row r="4" ht="6" customHeight="1"/>
    <row r="5" ht="34" customHeight="1">
      <c r="A5" s="5" t="inlineStr">
        <is>
          <t>📥 RECEITAS</t>
        </is>
      </c>
      <c r="B5" s="48">
        <f>IFERROR(SUMPRODUCT((Lancamentos!$A$2:$A$500="Receita")*(Lancamentos!$B$2:$B$500&lt;&gt;"")*(MONTH(Lancamentos!$B$2:$B$500)=$B$2)*(YEAR(Lancamentos!$B$2:$B$500)=$B$3)*Lancamentos!$G$2:$G$500),0)</f>
        <v/>
      </c>
      <c r="C5" s="49" t="n"/>
      <c r="D5" s="50" t="n"/>
      <c r="F5" s="7" t="inlineStr">
        <is>
          <t>📤 DESPESAS</t>
        </is>
      </c>
      <c r="G5" s="51">
        <f>IFERROR(SUMPRODUCT((Lancamentos!$A$2:$A$500="Despesa")*(Lancamentos!$B$2:$B$500&lt;&gt;"")*(MONTH(Lancamentos!$B$2:$B$500)=$B$2)*(YEAR(Lancamentos!$B$2:$B$500)=$B$3)*Lancamentos!$G$2:$G$500),0)</f>
        <v/>
      </c>
      <c r="H5" s="50" t="n"/>
      <c r="J5" s="9" t="inlineStr">
        <is>
          <t>💰 SALDO</t>
        </is>
      </c>
      <c r="K5" s="52">
        <f>B5-G5</f>
        <v/>
      </c>
    </row>
    <row r="6" ht="6" customHeight="1"/>
    <row r="7" ht="24" customHeight="1">
      <c r="A7" s="11" t="inlineStr">
        <is>
          <t>RESUMO DO MÊS</t>
        </is>
      </c>
      <c r="F7" s="11" t="inlineStr">
        <is>
          <t>GASTOS POR CATEGORIA</t>
        </is>
      </c>
      <c r="J7" s="11" t="inlineStr">
        <is>
          <t>INDICADORES</t>
        </is>
      </c>
    </row>
    <row r="8">
      <c r="A8" s="12" t="inlineStr"/>
      <c r="B8" s="12" t="inlineStr">
        <is>
          <t>Ciclo 1</t>
        </is>
      </c>
      <c r="C8" s="12" t="inlineStr">
        <is>
          <t>Ciclo 2</t>
        </is>
      </c>
      <c r="D8" s="12" t="inlineStr">
        <is>
          <t>Total</t>
        </is>
      </c>
      <c r="F8" s="13" t="inlineStr">
        <is>
          <t>Luz</t>
        </is>
      </c>
      <c r="G8" s="14">
        <f>IFERROR(SUMPRODUCT((Lancamentos!$A$2:$A$500="Despesa")*(Lancamentos!$B$2:$B$500&lt;&gt;"")*(MONTH(Lancamentos!$B$2:$B$500)=$B$2)*(YEAR(Lancamentos!$B$2:$B$500)=$B$3)*(Lancamentos!$D$2:$D$500="Luz")*Lancamentos!$G$2:$G$500),0)</f>
        <v/>
      </c>
      <c r="H8" s="15">
        <f>IFERROR(G8/SUM(G$8:G$15),0)</f>
        <v/>
      </c>
      <c r="J8" s="16" t="inlineStr">
        <is>
          <t>⏳ Pendente</t>
        </is>
      </c>
      <c r="K8" s="17">
        <f>IFERROR(SUMPRODUCT((Lancamentos!$A$2:$A$500="Despesa")*(Lancamentos!$B$2:$B$500&lt;&gt;"")*(MONTH(Lancamentos!$B$2:$B$500)=$B$2)*(YEAR(Lancamentos!$B$2:$B$500)=$B$3)*(Lancamentos!$H$2:$H$500="Pendente")*Lancamentos!$G$2:$G$500),0)</f>
        <v/>
      </c>
    </row>
    <row r="9">
      <c r="A9" s="18" t="inlineStr">
        <is>
          <t>Will</t>
        </is>
      </c>
      <c r="B9" s="19">
        <f>IFERROR(SUMPRODUCT((Lancamentos!$A$2:$A$500="Receita")*(Lancamentos!$B$2:$B$500&lt;&gt;"")*(MONTH(Lancamentos!$B$2:$B$500)=$B$2)*(YEAR(Lancamentos!$B$2:$B$500)=$B$3)*(Lancamentos!$E$2:$E$500="Will")*(Lancamentos!$F$2:$F$500=1)*Lancamentos!$G$2:$G$500),0)</f>
        <v/>
      </c>
      <c r="C9" s="19">
        <f>IFERROR(SUMPRODUCT((Lancamentos!$A$2:$A$500="Receita")*(Lancamentos!$B$2:$B$500&lt;&gt;"")*(MONTH(Lancamentos!$B$2:$B$500)=$B$2)*(YEAR(Lancamentos!$B$2:$B$500)=$B$3)*(Lancamentos!$E$2:$E$500="Will")*(Lancamentos!$F$2:$F$500=2)*Lancamentos!$G$2:$G$500),0)</f>
        <v/>
      </c>
      <c r="D9" s="19">
        <f>SUM(B9:C9)</f>
        <v/>
      </c>
      <c r="F9" s="13" t="inlineStr">
        <is>
          <t>Internet</t>
        </is>
      </c>
      <c r="G9" s="14">
        <f>IFERROR(SUMPRODUCT((Lancamentos!$A$2:$A$500="Despesa")*(Lancamentos!$B$2:$B$500&lt;&gt;"")*(MONTH(Lancamentos!$B$2:$B$500)=$B$2)*(YEAR(Lancamentos!$B$2:$B$500)=$B$3)*(Lancamentos!$D$2:$D$500="Internet")*Lancamentos!$G$2:$G$500),0)</f>
        <v/>
      </c>
      <c r="H9" s="15">
        <f>IFERROR(G9/SUM(G$8:G$15),0)</f>
        <v/>
      </c>
      <c r="J9" s="20" t="inlineStr">
        <is>
          <t>✅ Pago</t>
        </is>
      </c>
      <c r="K9" s="21">
        <f>IFERROR(SUMPRODUCT((Lancamentos!$A$2:$A$500="Despesa")*(Lancamentos!$B$2:$B$500&lt;&gt;"")*(MONTH(Lancamentos!$B$2:$B$500)=$B$2)*(YEAR(Lancamentos!$B$2:$B$500)=$B$3)*(Lancamentos!$H$2:$H$500="Pago")*Lancamentos!$G$2:$G$500),0)</f>
        <v/>
      </c>
    </row>
    <row r="10">
      <c r="A10" s="18" t="inlineStr">
        <is>
          <t>Sá</t>
        </is>
      </c>
      <c r="B10" s="19">
        <f>IFERROR(SUMPRODUCT((Lancamentos!$A$2:$A$500="Receita")*(Lancamentos!$B$2:$B$500&lt;&gt;"")*(MONTH(Lancamentos!$B$2:$B$500)=$B$2)*(YEAR(Lancamentos!$B$2:$B$500)=$B$3)*(Lancamentos!$E$2:$E$500="Sá")*(Lancamentos!$F$2:$F$500=1)*Lancamentos!$G$2:$G$500),0)</f>
        <v/>
      </c>
      <c r="C10" s="19">
        <f>IFERROR(SUMPRODUCT((Lancamentos!$A$2:$A$500="Receita")*(Lancamentos!$B$2:$B$500&lt;&gt;"")*(MONTH(Lancamentos!$B$2:$B$500)=$B$2)*(YEAR(Lancamentos!$B$2:$B$500)=$B$3)*(Lancamentos!$E$2:$E$500="Sá")*(Lancamentos!$F$2:$F$500=2)*Lancamentos!$G$2:$G$500),0)</f>
        <v/>
      </c>
      <c r="D10" s="19">
        <f>SUM(B10:C10)</f>
        <v/>
      </c>
      <c r="F10" s="13" t="inlineStr">
        <is>
          <t>Estacionamento</t>
        </is>
      </c>
      <c r="G10" s="14">
        <f>IFERROR(SUMPRODUCT((Lancamentos!$A$2:$A$500="Despesa")*(Lancamentos!$B$2:$B$500&lt;&gt;"")*(MONTH(Lancamentos!$B$2:$B$500)=$B$2)*(YEAR(Lancamentos!$B$2:$B$500)=$B$3)*(Lancamentos!$D$2:$D$500="Estacionamento")*Lancamentos!$G$2:$G$500),0)</f>
        <v/>
      </c>
      <c r="H10" s="15">
        <f>IFERROR(G10/SUM(G$8:G$15),0)</f>
        <v/>
      </c>
      <c r="J10" s="22" t="inlineStr">
        <is>
          <t>🔴 A Pagar</t>
        </is>
      </c>
      <c r="K10" s="23">
        <f>IFERROR(SUMPRODUCT((Lancamentos!$A$2:$A$500="Despesa")*(Lancamentos!$B$2:$B$500&lt;&gt;"")*(MONTH(Lancamentos!$B$2:$B$500)=$B$2)*(YEAR(Lancamentos!$B$2:$B$500)=$B$3)*(Lancamentos!$H$2:$H$500="A Pagar")*Lancamentos!$G$2:$G$500),0)</f>
        <v/>
      </c>
    </row>
    <row r="11">
      <c r="A11" s="24" t="inlineStr">
        <is>
          <t>RECEITAS</t>
        </is>
      </c>
      <c r="B11" s="25">
        <f>SUM(B9:B10)</f>
        <v/>
      </c>
      <c r="C11" s="25">
        <f>SUM(C9:C10)</f>
        <v/>
      </c>
      <c r="D11" s="25">
        <f>SUM(D9:D10)</f>
        <v/>
      </c>
      <c r="F11" s="13" t="inlineStr">
        <is>
          <t>Cartão Will</t>
        </is>
      </c>
      <c r="G11" s="14">
        <f>IFERROR(SUMPRODUCT((Lancamentos!$A$2:$A$500="Despesa")*(Lancamentos!$B$2:$B$500&lt;&gt;"")*(MONTH(Lancamentos!$B$2:$B$500)=$B$2)*(YEAR(Lancamentos!$B$2:$B$500)=$B$3)*(Lancamentos!$D$2:$D$500="Cartão Will")*Lancamentos!$G$2:$G$500),0)</f>
        <v/>
      </c>
      <c r="H11" s="15">
        <f>IFERROR(G11/SUM(G$8:G$15),0)</f>
        <v/>
      </c>
    </row>
    <row r="12">
      <c r="A12" s="26" t="inlineStr">
        <is>
          <t>DESPESAS</t>
        </is>
      </c>
      <c r="B12" s="27">
        <f>IFERROR(SUMPRODUCT((Lancamentos!$A$2:$A$500="Despesa")*(Lancamentos!$B$2:$B$500&lt;&gt;"")*(MONTH(Lancamentos!$B$2:$B$500)=$B$2)*(YEAR(Lancamentos!$B$2:$B$500)=$B$3)*(Lancamentos!$F$2:$F$500=1)*Lancamentos!$G$2:$G$500),0)</f>
        <v/>
      </c>
      <c r="C12" s="27">
        <f>IFERROR(SUMPRODUCT((Lancamentos!$A$2:$A$500="Despesa")*(Lancamentos!$B$2:$B$500&lt;&gt;"")*(MONTH(Lancamentos!$B$2:$B$500)=$B$2)*(YEAR(Lancamentos!$B$2:$B$500)=$B$3)*(Lancamentos!$F$2:$F$500=2)*Lancamentos!$G$2:$G$500),0)</f>
        <v/>
      </c>
      <c r="D12" s="27">
        <f>SUM(B12:C12)</f>
        <v/>
      </c>
      <c r="F12" s="13" t="inlineStr">
        <is>
          <t>Cartão Sá</t>
        </is>
      </c>
      <c r="G12" s="14">
        <f>IFERROR(SUMPRODUCT((Lancamentos!$A$2:$A$500="Despesa")*(Lancamentos!$B$2:$B$500&lt;&gt;"")*(MONTH(Lancamentos!$B$2:$B$500)=$B$2)*(YEAR(Lancamentos!$B$2:$B$500)=$B$3)*(Lancamentos!$D$2:$D$500="Cartão Sá")*Lancamentos!$G$2:$G$500),0)</f>
        <v/>
      </c>
      <c r="H12" s="15">
        <f>IFERROR(G12/SUM(G$8:G$15),0)</f>
        <v/>
      </c>
      <c r="J12" s="28" t="inlineStr">
        <is>
          <t>% Comprometido</t>
        </is>
      </c>
      <c r="K12" s="53">
        <f>IFERROR(G5/B5,0)</f>
        <v/>
      </c>
    </row>
    <row r="13">
      <c r="A13" s="30" t="inlineStr">
        <is>
          <t>SALDO</t>
        </is>
      </c>
      <c r="B13" s="31">
        <f>B11-B12</f>
        <v/>
      </c>
      <c r="C13" s="31">
        <f>C11-C12</f>
        <v/>
      </c>
      <c r="D13" s="31">
        <f>D11-D12</f>
        <v/>
      </c>
      <c r="F13" s="13" t="inlineStr">
        <is>
          <t>Celular</t>
        </is>
      </c>
      <c r="G13" s="14">
        <f>IFERROR(SUMPRODUCT((Lancamentos!$A$2:$A$500="Despesa")*(Lancamentos!$B$2:$B$500&lt;&gt;"")*(MONTH(Lancamentos!$B$2:$B$500)=$B$2)*(YEAR(Lancamentos!$B$2:$B$500)=$B$3)*(Lancamentos!$D$2:$D$500="Celular")*Lancamentos!$G$2:$G$500),0)</f>
        <v/>
      </c>
      <c r="H13" s="15">
        <f>IFERROR(G13/SUM(G$8:G$15),0)</f>
        <v/>
      </c>
      <c r="J13" s="32" t="inlineStr">
        <is>
          <t>Maior Gasto</t>
        </is>
      </c>
      <c r="K13" s="33">
        <f>IFERROR(INDEX(F$8:F$15,MATCH(MAX(G$8:G$15),G$8:G$15,0)),"-")</f>
        <v/>
      </c>
    </row>
    <row r="14">
      <c r="F14" s="13" t="inlineStr">
        <is>
          <t>Areia</t>
        </is>
      </c>
      <c r="G14" s="14">
        <f>IFERROR(SUMPRODUCT((Lancamentos!$A$2:$A$500="Despesa")*(Lancamentos!$B$2:$B$500&lt;&gt;"")*(MONTH(Lancamentos!$B$2:$B$500)=$B$2)*(YEAR(Lancamentos!$B$2:$B$500)=$B$3)*(Lancamentos!$D$2:$D$500="Areia")*Lancamentos!$G$2:$G$500),0)</f>
        <v/>
      </c>
      <c r="H14" s="15">
        <f>IFERROR(G14/SUM(G$8:G$15),0)</f>
        <v/>
      </c>
      <c r="J14" s="32" t="inlineStr">
        <is>
          <t>Nº Lançamentos</t>
        </is>
      </c>
      <c r="K14" s="34">
        <f>SUMPRODUCT((Lancamentos!$B$2:$B$500&lt;&gt;"")*(MONTH(Lancamentos!$B$2:$B$500)=$B$2)*(YEAR(Lancamentos!$B$2:$B$500)=$B$3))</f>
        <v/>
      </c>
    </row>
    <row r="15">
      <c r="F15" s="13" t="inlineStr">
        <is>
          <t>Unha mão</t>
        </is>
      </c>
      <c r="G15" s="14">
        <f>IFERROR(SUMPRODUCT((Lancamentos!$A$2:$A$500="Despesa")*(Lancamentos!$B$2:$B$500&lt;&gt;"")*(MONTH(Lancamentos!$B$2:$B$500)=$B$2)*(YEAR(Lancamentos!$B$2:$B$500)=$B$3)*(Lancamentos!$D$2:$D$500="Unha mão")*Lancamentos!$G$2:$G$500),0)</f>
        <v/>
      </c>
      <c r="H15" s="15">
        <f>IFERROR(G15/SUM(G$8:G$15),0)</f>
        <v/>
      </c>
      <c r="J15" s="32" t="inlineStr">
        <is>
          <t>Situação</t>
        </is>
      </c>
      <c r="K15" s="33">
        <f>IF(IFERROR(G5/B5,0)&gt;0.8,"⚠️ Atenção",IF(IFERROR(G5/B5,0)&gt;0.5,"⚡ Moderado","✅ Tranquilo"))</f>
        <v/>
      </c>
    </row>
    <row r="16" ht="6" customHeight="1"/>
    <row r="17" ht="20" customHeight="1">
      <c r="A17" s="35" t="inlineStr">
        <is>
          <t>PENDENTE</t>
        </is>
      </c>
      <c r="F17" s="36" t="inlineStr">
        <is>
          <t>PAGO / RECEBIDO</t>
        </is>
      </c>
      <c r="J17" s="37" t="inlineStr">
        <is>
          <t>A PAGAR</t>
        </is>
      </c>
    </row>
    <row r="18" ht="6" customHeight="1"/>
    <row r="19">
      <c r="A19" s="38" t="inlineStr">
        <is>
          <t>💡 Para lançar: menu  💰 Controle → 📝 Novo Lançamento</t>
        </is>
      </c>
    </row>
  </sheetData>
  <mergeCells count="13">
    <mergeCell ref="A17:D17"/>
    <mergeCell ref="D3:K3"/>
    <mergeCell ref="B5:D5"/>
    <mergeCell ref="J7:K7"/>
    <mergeCell ref="D2:K2"/>
    <mergeCell ref="G5:H5"/>
    <mergeCell ref="A19:K19"/>
    <mergeCell ref="A7:D7"/>
    <mergeCell ref="F17:H17"/>
    <mergeCell ref="F7:H7"/>
    <mergeCell ref="K5"/>
    <mergeCell ref="A1:K1"/>
    <mergeCell ref="J17:K17"/>
  </mergeCells>
  <dataValidations count="2">
    <dataValidation sqref="B2" showDropDown="0" showInputMessage="0" showErrorMessage="0" allowBlank="0" type="list">
      <formula1>Config!$I$2:$I$13</formula1>
    </dataValidation>
    <dataValidation sqref="B3" showDropDown="0" showInputMessage="0" showErrorMessage="0" allowBlank="0" type="list">
      <formula1>"2025,2026,2027,2028,2029,2030"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H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8" customWidth="1" min="4" max="4"/>
    <col width="14" customWidth="1" min="5" max="5"/>
    <col width="10" customWidth="1" min="6" max="6"/>
    <col width="16" customWidth="1" min="7" max="7"/>
    <col width="14" customWidth="1" min="8" max="8"/>
  </cols>
  <sheetData>
    <row r="1" ht="26" customHeight="1">
      <c r="A1" s="39" t="inlineStr">
        <is>
          <t>Tipo</t>
        </is>
      </c>
      <c r="B1" s="39" t="inlineStr">
        <is>
          <t>Data</t>
        </is>
      </c>
      <c r="C1" s="39" t="inlineStr">
        <is>
          <t>Descrição</t>
        </is>
      </c>
      <c r="D1" s="39" t="inlineStr">
        <is>
          <t>Categoria</t>
        </is>
      </c>
      <c r="E1" s="39" t="inlineStr">
        <is>
          <t>Responsável</t>
        </is>
      </c>
      <c r="F1" s="39" t="inlineStr">
        <is>
          <t>Ciclo</t>
        </is>
      </c>
      <c r="G1" s="39" t="inlineStr">
        <is>
          <t>Valor (R$)</t>
        </is>
      </c>
      <c r="H1" s="39" t="inlineStr">
        <is>
          <t>Status</t>
        </is>
      </c>
    </row>
    <row r="2">
      <c r="A2" s="40" t="inlineStr">
        <is>
          <t>Receita</t>
        </is>
      </c>
      <c r="B2" s="54" t="n">
        <v>46218</v>
      </c>
      <c r="C2" s="40" t="inlineStr">
        <is>
          <t>Salário Sá</t>
        </is>
      </c>
      <c r="D2" s="40" t="inlineStr">
        <is>
          <t>Salário</t>
        </is>
      </c>
      <c r="E2" s="40" t="inlineStr">
        <is>
          <t>Sá</t>
        </is>
      </c>
      <c r="F2" s="40" t="n">
        <v>1</v>
      </c>
      <c r="G2" s="42" t="n">
        <v>1190</v>
      </c>
      <c r="H2" s="40" t="inlineStr">
        <is>
          <t>Recebido</t>
        </is>
      </c>
    </row>
    <row r="3">
      <c r="A3" s="40" t="inlineStr">
        <is>
          <t>Receita</t>
        </is>
      </c>
      <c r="B3" s="54" t="n">
        <v>46230</v>
      </c>
      <c r="C3" s="40" t="inlineStr">
        <is>
          <t>Salário Will</t>
        </is>
      </c>
      <c r="D3" s="40" t="inlineStr">
        <is>
          <t>Salário</t>
        </is>
      </c>
      <c r="E3" s="40" t="inlineStr">
        <is>
          <t>Will</t>
        </is>
      </c>
      <c r="F3" s="40" t="n">
        <v>2</v>
      </c>
      <c r="G3" s="42" t="n">
        <v>3191.04</v>
      </c>
      <c r="H3" s="40" t="inlineStr">
        <is>
          <t>Pendente</t>
        </is>
      </c>
    </row>
    <row r="4">
      <c r="A4" s="40" t="inlineStr">
        <is>
          <t>Despesa</t>
        </is>
      </c>
      <c r="B4" s="54" t="n">
        <v>46211</v>
      </c>
      <c r="C4" s="40" t="inlineStr">
        <is>
          <t>Cartão Sá</t>
        </is>
      </c>
      <c r="D4" s="40" t="inlineStr">
        <is>
          <t>Cartão Sá</t>
        </is>
      </c>
      <c r="E4" s="40" t="inlineStr">
        <is>
          <t>Sá</t>
        </is>
      </c>
      <c r="F4" s="40" t="n">
        <v>1</v>
      </c>
      <c r="G4" s="42" t="n">
        <v>25</v>
      </c>
      <c r="H4" s="40" t="inlineStr">
        <is>
          <t>Pago</t>
        </is>
      </c>
    </row>
    <row r="5">
      <c r="A5" s="40" t="inlineStr">
        <is>
          <t>Despesa</t>
        </is>
      </c>
      <c r="B5" s="54" t="n">
        <v>46218</v>
      </c>
      <c r="C5" s="40" t="inlineStr">
        <is>
          <t>Estacionamento</t>
        </is>
      </c>
      <c r="D5" s="40" t="inlineStr">
        <is>
          <t>Estacionamento</t>
        </is>
      </c>
      <c r="E5" s="40" t="inlineStr">
        <is>
          <t>Ambos</t>
        </is>
      </c>
      <c r="F5" s="40" t="n">
        <v>1</v>
      </c>
      <c r="G5" s="42" t="n">
        <v>250</v>
      </c>
      <c r="H5" s="40" t="inlineStr">
        <is>
          <t>Pendente</t>
        </is>
      </c>
    </row>
    <row r="6">
      <c r="A6" s="40" t="inlineStr">
        <is>
          <t>Despesa</t>
        </is>
      </c>
      <c r="B6" s="54" t="n">
        <v>46218</v>
      </c>
      <c r="C6" s="40" t="inlineStr">
        <is>
          <t>Cartão Will</t>
        </is>
      </c>
      <c r="D6" s="40" t="inlineStr">
        <is>
          <t>Cartão Will</t>
        </is>
      </c>
      <c r="E6" s="40" t="inlineStr">
        <is>
          <t>Will</t>
        </is>
      </c>
      <c r="F6" s="40" t="n">
        <v>1</v>
      </c>
      <c r="G6" s="42" t="n">
        <v>541.55</v>
      </c>
      <c r="H6" s="40" t="inlineStr">
        <is>
          <t>Pendente</t>
        </is>
      </c>
    </row>
    <row r="7">
      <c r="A7" s="40" t="inlineStr">
        <is>
          <t>Despesa</t>
        </is>
      </c>
      <c r="B7" s="54" t="n">
        <v>46218</v>
      </c>
      <c r="C7" s="40" t="inlineStr">
        <is>
          <t>Unha mão</t>
        </is>
      </c>
      <c r="D7" s="40" t="inlineStr">
        <is>
          <t>Unha mão</t>
        </is>
      </c>
      <c r="E7" s="40" t="inlineStr">
        <is>
          <t>Sá</t>
        </is>
      </c>
      <c r="F7" s="40" t="n">
        <v>1</v>
      </c>
      <c r="G7" s="42" t="n">
        <v>170</v>
      </c>
      <c r="H7" s="40" t="inlineStr">
        <is>
          <t>Pendente</t>
        </is>
      </c>
    </row>
    <row r="8">
      <c r="A8" s="40" t="inlineStr">
        <is>
          <t>Despesa</t>
        </is>
      </c>
      <c r="B8" s="54" t="n">
        <v>46218</v>
      </c>
      <c r="C8" s="40" t="inlineStr">
        <is>
          <t>Celular</t>
        </is>
      </c>
      <c r="D8" s="40" t="inlineStr">
        <is>
          <t>Celular</t>
        </is>
      </c>
      <c r="E8" s="40" t="inlineStr">
        <is>
          <t>Ambos</t>
        </is>
      </c>
      <c r="F8" s="40" t="n">
        <v>1</v>
      </c>
      <c r="G8" s="42" t="n">
        <v>250</v>
      </c>
      <c r="H8" s="40" t="inlineStr">
        <is>
          <t>Pendente</t>
        </is>
      </c>
    </row>
    <row r="9">
      <c r="A9" s="40" t="inlineStr">
        <is>
          <t>Despesa</t>
        </is>
      </c>
      <c r="B9" s="54" t="n">
        <v>46218</v>
      </c>
      <c r="C9" s="40" t="inlineStr">
        <is>
          <t>Areia</t>
        </is>
      </c>
      <c r="D9" s="40" t="inlineStr">
        <is>
          <t>Areia</t>
        </is>
      </c>
      <c r="E9" s="40" t="inlineStr">
        <is>
          <t>Ambos</t>
        </is>
      </c>
      <c r="F9" s="40" t="n">
        <v>2</v>
      </c>
      <c r="G9" s="42" t="n">
        <v>170</v>
      </c>
      <c r="H9" s="40" t="inlineStr">
        <is>
          <t>Pendente</t>
        </is>
      </c>
    </row>
    <row r="10">
      <c r="A10" s="40" t="inlineStr">
        <is>
          <t>Despesa</t>
        </is>
      </c>
      <c r="B10" s="54" t="n">
        <v>46219</v>
      </c>
      <c r="C10" s="40" t="inlineStr">
        <is>
          <t>Internet</t>
        </is>
      </c>
      <c r="D10" s="40" t="inlineStr">
        <is>
          <t>Internet</t>
        </is>
      </c>
      <c r="E10" s="40" t="inlineStr">
        <is>
          <t>Ambos</t>
        </is>
      </c>
      <c r="F10" s="40" t="n">
        <v>2</v>
      </c>
      <c r="G10" s="42" t="n">
        <v>155</v>
      </c>
      <c r="H10" s="40" t="inlineStr">
        <is>
          <t>Pendente</t>
        </is>
      </c>
    </row>
    <row r="11">
      <c r="A11" s="40" t="inlineStr">
        <is>
          <t>Despesa</t>
        </is>
      </c>
      <c r="B11" s="54" t="n">
        <v>46222</v>
      </c>
      <c r="C11" s="40" t="inlineStr">
        <is>
          <t>Luz</t>
        </is>
      </c>
      <c r="D11" s="40" t="inlineStr">
        <is>
          <t>Luz</t>
        </is>
      </c>
      <c r="E11" s="40" t="inlineStr">
        <is>
          <t>Ambos</t>
        </is>
      </c>
      <c r="F11" s="40" t="n">
        <v>2</v>
      </c>
      <c r="G11" s="42" t="n">
        <v>189.8</v>
      </c>
      <c r="H11" s="40" t="inlineStr">
        <is>
          <t>Pendente</t>
        </is>
      </c>
    </row>
    <row r="12">
      <c r="A12" s="40" t="n"/>
      <c r="B12" s="54" t="n"/>
      <c r="C12" s="40" t="n"/>
      <c r="D12" s="40" t="n"/>
      <c r="E12" s="40" t="n"/>
      <c r="F12" s="40" t="n"/>
      <c r="G12" s="42" t="n"/>
      <c r="H12" s="40" t="n"/>
    </row>
    <row r="13">
      <c r="A13" s="40" t="n"/>
      <c r="B13" s="54" t="n"/>
      <c r="C13" s="40" t="n"/>
      <c r="D13" s="40" t="n"/>
      <c r="E13" s="40" t="n"/>
      <c r="F13" s="40" t="n"/>
      <c r="G13" s="42" t="n"/>
      <c r="H13" s="40" t="n"/>
    </row>
    <row r="14">
      <c r="A14" s="40" t="n"/>
      <c r="B14" s="54" t="n"/>
      <c r="C14" s="40" t="n"/>
      <c r="D14" s="40" t="n"/>
      <c r="E14" s="40" t="n"/>
      <c r="F14" s="40" t="n"/>
      <c r="G14" s="42" t="n"/>
      <c r="H14" s="40" t="n"/>
    </row>
    <row r="15">
      <c r="A15" s="40" t="n"/>
      <c r="B15" s="54" t="n"/>
      <c r="C15" s="40" t="n"/>
      <c r="D15" s="40" t="n"/>
      <c r="E15" s="40" t="n"/>
      <c r="F15" s="40" t="n"/>
      <c r="G15" s="42" t="n"/>
      <c r="H15" s="40" t="n"/>
    </row>
    <row r="16">
      <c r="A16" s="40" t="n"/>
      <c r="B16" s="54" t="n"/>
      <c r="C16" s="40" t="n"/>
      <c r="D16" s="40" t="n"/>
      <c r="E16" s="40" t="n"/>
      <c r="F16" s="40" t="n"/>
      <c r="G16" s="42" t="n"/>
      <c r="H16" s="40" t="n"/>
    </row>
    <row r="17">
      <c r="A17" s="40" t="n"/>
      <c r="B17" s="54" t="n"/>
      <c r="C17" s="40" t="n"/>
      <c r="D17" s="40" t="n"/>
      <c r="E17" s="40" t="n"/>
      <c r="F17" s="40" t="n"/>
      <c r="G17" s="42" t="n"/>
      <c r="H17" s="40" t="n"/>
    </row>
    <row r="18">
      <c r="A18" s="40" t="n"/>
      <c r="B18" s="54" t="n"/>
      <c r="C18" s="40" t="n"/>
      <c r="D18" s="40" t="n"/>
      <c r="E18" s="40" t="n"/>
      <c r="F18" s="40" t="n"/>
      <c r="G18" s="42" t="n"/>
      <c r="H18" s="40" t="n"/>
    </row>
    <row r="19">
      <c r="A19" s="40" t="n"/>
      <c r="B19" s="54" t="n"/>
      <c r="C19" s="40" t="n"/>
      <c r="D19" s="40" t="n"/>
      <c r="E19" s="40" t="n"/>
      <c r="F19" s="40" t="n"/>
      <c r="G19" s="42" t="n"/>
      <c r="H19" s="40" t="n"/>
    </row>
    <row r="20">
      <c r="A20" s="40" t="n"/>
      <c r="B20" s="54" t="n"/>
      <c r="C20" s="40" t="n"/>
      <c r="D20" s="40" t="n"/>
      <c r="E20" s="40" t="n"/>
      <c r="F20" s="40" t="n"/>
      <c r="G20" s="42" t="n"/>
      <c r="H20" s="40" t="n"/>
    </row>
    <row r="21">
      <c r="A21" s="40" t="n"/>
      <c r="B21" s="54" t="n"/>
      <c r="C21" s="40" t="n"/>
      <c r="D21" s="40" t="n"/>
      <c r="E21" s="40" t="n"/>
      <c r="F21" s="40" t="n"/>
      <c r="G21" s="42" t="n"/>
      <c r="H21" s="40" t="n"/>
    </row>
    <row r="22">
      <c r="A22" s="40" t="n"/>
      <c r="B22" s="54" t="n"/>
      <c r="C22" s="40" t="n"/>
      <c r="D22" s="40" t="n"/>
      <c r="E22" s="40" t="n"/>
      <c r="F22" s="40" t="n"/>
      <c r="G22" s="42" t="n"/>
      <c r="H22" s="40" t="n"/>
    </row>
    <row r="23">
      <c r="A23" s="40" t="n"/>
      <c r="B23" s="54" t="n"/>
      <c r="C23" s="40" t="n"/>
      <c r="D23" s="40" t="n"/>
      <c r="E23" s="40" t="n"/>
      <c r="F23" s="40" t="n"/>
      <c r="G23" s="42" t="n"/>
      <c r="H23" s="40" t="n"/>
    </row>
    <row r="24">
      <c r="A24" s="40" t="n"/>
      <c r="B24" s="54" t="n"/>
      <c r="C24" s="40" t="n"/>
      <c r="D24" s="40" t="n"/>
      <c r="E24" s="40" t="n"/>
      <c r="F24" s="40" t="n"/>
      <c r="G24" s="42" t="n"/>
      <c r="H24" s="40" t="n"/>
    </row>
    <row r="25">
      <c r="A25" s="40" t="n"/>
      <c r="B25" s="54" t="n"/>
      <c r="C25" s="40" t="n"/>
      <c r="D25" s="40" t="n"/>
      <c r="E25" s="40" t="n"/>
      <c r="F25" s="40" t="n"/>
      <c r="G25" s="42" t="n"/>
      <c r="H25" s="40" t="n"/>
    </row>
    <row r="26">
      <c r="A26" s="40" t="n"/>
      <c r="B26" s="54" t="n"/>
      <c r="C26" s="40" t="n"/>
      <c r="D26" s="40" t="n"/>
      <c r="E26" s="40" t="n"/>
      <c r="F26" s="40" t="n"/>
      <c r="G26" s="42" t="n"/>
      <c r="H26" s="40" t="n"/>
    </row>
    <row r="27">
      <c r="A27" s="40" t="n"/>
      <c r="B27" s="54" t="n"/>
      <c r="C27" s="40" t="n"/>
      <c r="D27" s="40" t="n"/>
      <c r="E27" s="40" t="n"/>
      <c r="F27" s="40" t="n"/>
      <c r="G27" s="42" t="n"/>
      <c r="H27" s="40" t="n"/>
    </row>
    <row r="28">
      <c r="A28" s="40" t="n"/>
      <c r="B28" s="54" t="n"/>
      <c r="C28" s="40" t="n"/>
      <c r="D28" s="40" t="n"/>
      <c r="E28" s="40" t="n"/>
      <c r="F28" s="40" t="n"/>
      <c r="G28" s="42" t="n"/>
      <c r="H28" s="40" t="n"/>
    </row>
    <row r="29">
      <c r="A29" s="40" t="n"/>
      <c r="B29" s="54" t="n"/>
      <c r="C29" s="40" t="n"/>
      <c r="D29" s="40" t="n"/>
      <c r="E29" s="40" t="n"/>
      <c r="F29" s="40" t="n"/>
      <c r="G29" s="42" t="n"/>
      <c r="H29" s="40" t="n"/>
    </row>
    <row r="30">
      <c r="A30" s="40" t="n"/>
      <c r="B30" s="54" t="n"/>
      <c r="C30" s="40" t="n"/>
      <c r="D30" s="40" t="n"/>
      <c r="E30" s="40" t="n"/>
      <c r="F30" s="40" t="n"/>
      <c r="G30" s="42" t="n"/>
      <c r="H30" s="40" t="n"/>
    </row>
    <row r="31">
      <c r="A31" s="40" t="n"/>
      <c r="B31" s="54" t="n"/>
      <c r="C31" s="40" t="n"/>
      <c r="D31" s="40" t="n"/>
      <c r="E31" s="40" t="n"/>
      <c r="F31" s="40" t="n"/>
      <c r="G31" s="42" t="n"/>
      <c r="H31" s="40" t="n"/>
    </row>
    <row r="32">
      <c r="A32" s="40" t="n"/>
      <c r="B32" s="54" t="n"/>
      <c r="C32" s="40" t="n"/>
      <c r="D32" s="40" t="n"/>
      <c r="E32" s="40" t="n"/>
      <c r="F32" s="40" t="n"/>
      <c r="G32" s="42" t="n"/>
      <c r="H32" s="40" t="n"/>
    </row>
    <row r="33">
      <c r="A33" s="40" t="n"/>
      <c r="B33" s="54" t="n"/>
      <c r="C33" s="40" t="n"/>
      <c r="D33" s="40" t="n"/>
      <c r="E33" s="40" t="n"/>
      <c r="F33" s="40" t="n"/>
      <c r="G33" s="42" t="n"/>
      <c r="H33" s="40" t="n"/>
    </row>
    <row r="34">
      <c r="A34" s="40" t="n"/>
      <c r="B34" s="54" t="n"/>
      <c r="C34" s="40" t="n"/>
      <c r="D34" s="40" t="n"/>
      <c r="E34" s="40" t="n"/>
      <c r="F34" s="40" t="n"/>
      <c r="G34" s="42" t="n"/>
      <c r="H34" s="40" t="n"/>
    </row>
    <row r="35">
      <c r="A35" s="40" t="n"/>
      <c r="B35" s="54" t="n"/>
      <c r="C35" s="40" t="n"/>
      <c r="D35" s="40" t="n"/>
      <c r="E35" s="40" t="n"/>
      <c r="F35" s="40" t="n"/>
      <c r="G35" s="42" t="n"/>
      <c r="H35" s="40" t="n"/>
    </row>
    <row r="36">
      <c r="A36" s="40" t="n"/>
      <c r="B36" s="54" t="n"/>
      <c r="C36" s="40" t="n"/>
      <c r="D36" s="40" t="n"/>
      <c r="E36" s="40" t="n"/>
      <c r="F36" s="40" t="n"/>
      <c r="G36" s="42" t="n"/>
      <c r="H36" s="40" t="n"/>
    </row>
    <row r="37">
      <c r="A37" s="40" t="n"/>
      <c r="B37" s="54" t="n"/>
      <c r="C37" s="40" t="n"/>
      <c r="D37" s="40" t="n"/>
      <c r="E37" s="40" t="n"/>
      <c r="F37" s="40" t="n"/>
      <c r="G37" s="42" t="n"/>
      <c r="H37" s="40" t="n"/>
    </row>
    <row r="38">
      <c r="A38" s="40" t="n"/>
      <c r="B38" s="54" t="n"/>
      <c r="C38" s="40" t="n"/>
      <c r="D38" s="40" t="n"/>
      <c r="E38" s="40" t="n"/>
      <c r="F38" s="40" t="n"/>
      <c r="G38" s="42" t="n"/>
      <c r="H38" s="40" t="n"/>
    </row>
    <row r="39">
      <c r="A39" s="40" t="n"/>
      <c r="B39" s="54" t="n"/>
      <c r="C39" s="40" t="n"/>
      <c r="D39" s="40" t="n"/>
      <c r="E39" s="40" t="n"/>
      <c r="F39" s="40" t="n"/>
      <c r="G39" s="42" t="n"/>
      <c r="H39" s="40" t="n"/>
    </row>
    <row r="40">
      <c r="A40" s="40" t="n"/>
      <c r="B40" s="54" t="n"/>
      <c r="C40" s="40" t="n"/>
      <c r="D40" s="40" t="n"/>
      <c r="E40" s="40" t="n"/>
      <c r="F40" s="40" t="n"/>
      <c r="G40" s="42" t="n"/>
      <c r="H40" s="40" t="n"/>
    </row>
    <row r="41">
      <c r="A41" s="40" t="n"/>
      <c r="B41" s="54" t="n"/>
      <c r="C41" s="40" t="n"/>
      <c r="D41" s="40" t="n"/>
      <c r="E41" s="40" t="n"/>
      <c r="F41" s="40" t="n"/>
      <c r="G41" s="42" t="n"/>
      <c r="H41" s="40" t="n"/>
    </row>
    <row r="42">
      <c r="A42" s="40" t="n"/>
      <c r="B42" s="54" t="n"/>
      <c r="C42" s="40" t="n"/>
      <c r="D42" s="40" t="n"/>
      <c r="E42" s="40" t="n"/>
      <c r="F42" s="40" t="n"/>
      <c r="G42" s="42" t="n"/>
      <c r="H42" s="40" t="n"/>
    </row>
    <row r="43">
      <c r="A43" s="40" t="n"/>
      <c r="B43" s="54" t="n"/>
      <c r="C43" s="40" t="n"/>
      <c r="D43" s="40" t="n"/>
      <c r="E43" s="40" t="n"/>
      <c r="F43" s="40" t="n"/>
      <c r="G43" s="42" t="n"/>
      <c r="H43" s="40" t="n"/>
    </row>
    <row r="44">
      <c r="A44" s="40" t="n"/>
      <c r="B44" s="54" t="n"/>
      <c r="C44" s="40" t="n"/>
      <c r="D44" s="40" t="n"/>
      <c r="E44" s="40" t="n"/>
      <c r="F44" s="40" t="n"/>
      <c r="G44" s="42" t="n"/>
      <c r="H44" s="40" t="n"/>
    </row>
    <row r="45">
      <c r="A45" s="40" t="n"/>
      <c r="B45" s="54" t="n"/>
      <c r="C45" s="40" t="n"/>
      <c r="D45" s="40" t="n"/>
      <c r="E45" s="40" t="n"/>
      <c r="F45" s="40" t="n"/>
      <c r="G45" s="42" t="n"/>
      <c r="H45" s="40" t="n"/>
    </row>
    <row r="46">
      <c r="A46" s="40" t="n"/>
      <c r="B46" s="54" t="n"/>
      <c r="C46" s="40" t="n"/>
      <c r="D46" s="40" t="n"/>
      <c r="E46" s="40" t="n"/>
      <c r="F46" s="40" t="n"/>
      <c r="G46" s="42" t="n"/>
      <c r="H46" s="40" t="n"/>
    </row>
    <row r="47">
      <c r="A47" s="40" t="n"/>
      <c r="B47" s="54" t="n"/>
      <c r="C47" s="40" t="n"/>
      <c r="D47" s="40" t="n"/>
      <c r="E47" s="40" t="n"/>
      <c r="F47" s="40" t="n"/>
      <c r="G47" s="42" t="n"/>
      <c r="H47" s="40" t="n"/>
    </row>
    <row r="48">
      <c r="A48" s="40" t="n"/>
      <c r="B48" s="54" t="n"/>
      <c r="C48" s="40" t="n"/>
      <c r="D48" s="40" t="n"/>
      <c r="E48" s="40" t="n"/>
      <c r="F48" s="40" t="n"/>
      <c r="G48" s="42" t="n"/>
      <c r="H48" s="40" t="n"/>
    </row>
    <row r="49">
      <c r="A49" s="40" t="n"/>
      <c r="B49" s="54" t="n"/>
      <c r="C49" s="40" t="n"/>
      <c r="D49" s="40" t="n"/>
      <c r="E49" s="40" t="n"/>
      <c r="F49" s="40" t="n"/>
      <c r="G49" s="42" t="n"/>
      <c r="H49" s="40" t="n"/>
    </row>
    <row r="50">
      <c r="A50" s="40" t="n"/>
      <c r="B50" s="54" t="n"/>
      <c r="C50" s="40" t="n"/>
      <c r="D50" s="40" t="n"/>
      <c r="E50" s="40" t="n"/>
      <c r="F50" s="40" t="n"/>
      <c r="G50" s="42" t="n"/>
      <c r="H50" s="40" t="n"/>
    </row>
    <row r="51">
      <c r="A51" s="40" t="n"/>
      <c r="B51" s="54" t="n"/>
      <c r="C51" s="40" t="n"/>
      <c r="D51" s="40" t="n"/>
      <c r="E51" s="40" t="n"/>
      <c r="F51" s="40" t="n"/>
      <c r="G51" s="42" t="n"/>
      <c r="H51" s="40" t="n"/>
    </row>
    <row r="52">
      <c r="A52" s="40" t="n"/>
      <c r="B52" s="54" t="n"/>
      <c r="C52" s="40" t="n"/>
      <c r="D52" s="40" t="n"/>
      <c r="E52" s="40" t="n"/>
      <c r="F52" s="40" t="n"/>
      <c r="G52" s="42" t="n"/>
      <c r="H52" s="40" t="n"/>
    </row>
    <row r="53">
      <c r="A53" s="40" t="n"/>
      <c r="B53" s="54" t="n"/>
      <c r="C53" s="40" t="n"/>
      <c r="D53" s="40" t="n"/>
      <c r="E53" s="40" t="n"/>
      <c r="F53" s="40" t="n"/>
      <c r="G53" s="42" t="n"/>
      <c r="H53" s="40" t="n"/>
    </row>
    <row r="54">
      <c r="A54" s="40" t="n"/>
      <c r="B54" s="54" t="n"/>
      <c r="C54" s="40" t="n"/>
      <c r="D54" s="40" t="n"/>
      <c r="E54" s="40" t="n"/>
      <c r="F54" s="40" t="n"/>
      <c r="G54" s="42" t="n"/>
      <c r="H54" s="40" t="n"/>
    </row>
    <row r="55">
      <c r="A55" s="40" t="n"/>
      <c r="B55" s="54" t="n"/>
      <c r="C55" s="40" t="n"/>
      <c r="D55" s="40" t="n"/>
      <c r="E55" s="40" t="n"/>
      <c r="F55" s="40" t="n"/>
      <c r="G55" s="42" t="n"/>
      <c r="H55" s="40" t="n"/>
    </row>
    <row r="56">
      <c r="A56" s="40" t="n"/>
      <c r="B56" s="54" t="n"/>
      <c r="C56" s="40" t="n"/>
      <c r="D56" s="40" t="n"/>
      <c r="E56" s="40" t="n"/>
      <c r="F56" s="40" t="n"/>
      <c r="G56" s="42" t="n"/>
      <c r="H56" s="40" t="n"/>
    </row>
    <row r="57">
      <c r="A57" s="40" t="n"/>
      <c r="B57" s="54" t="n"/>
      <c r="C57" s="40" t="n"/>
      <c r="D57" s="40" t="n"/>
      <c r="E57" s="40" t="n"/>
      <c r="F57" s="40" t="n"/>
      <c r="G57" s="42" t="n"/>
      <c r="H57" s="40" t="n"/>
    </row>
    <row r="58">
      <c r="A58" s="40" t="n"/>
      <c r="B58" s="54" t="n"/>
      <c r="C58" s="40" t="n"/>
      <c r="D58" s="40" t="n"/>
      <c r="E58" s="40" t="n"/>
      <c r="F58" s="40" t="n"/>
      <c r="G58" s="42" t="n"/>
      <c r="H58" s="40" t="n"/>
    </row>
    <row r="59">
      <c r="A59" s="40" t="n"/>
      <c r="B59" s="54" t="n"/>
      <c r="C59" s="40" t="n"/>
      <c r="D59" s="40" t="n"/>
      <c r="E59" s="40" t="n"/>
      <c r="F59" s="40" t="n"/>
      <c r="G59" s="42" t="n"/>
      <c r="H59" s="40" t="n"/>
    </row>
    <row r="60">
      <c r="A60" s="40" t="n"/>
      <c r="B60" s="54" t="n"/>
      <c r="C60" s="40" t="n"/>
      <c r="D60" s="40" t="n"/>
      <c r="E60" s="40" t="n"/>
      <c r="F60" s="40" t="n"/>
      <c r="G60" s="42" t="n"/>
      <c r="H60" s="40" t="n"/>
    </row>
    <row r="61">
      <c r="A61" s="40" t="n"/>
      <c r="B61" s="54" t="n"/>
      <c r="C61" s="40" t="n"/>
      <c r="D61" s="40" t="n"/>
      <c r="E61" s="40" t="n"/>
      <c r="F61" s="40" t="n"/>
      <c r="G61" s="42" t="n"/>
      <c r="H61" s="40" t="n"/>
    </row>
    <row r="62">
      <c r="A62" s="40" t="n"/>
      <c r="B62" s="54" t="n"/>
      <c r="C62" s="40" t="n"/>
      <c r="D62" s="40" t="n"/>
      <c r="E62" s="40" t="n"/>
      <c r="F62" s="40" t="n"/>
      <c r="G62" s="42" t="n"/>
      <c r="H62" s="40" t="n"/>
    </row>
    <row r="63">
      <c r="A63" s="40" t="n"/>
      <c r="B63" s="54" t="n"/>
      <c r="C63" s="40" t="n"/>
      <c r="D63" s="40" t="n"/>
      <c r="E63" s="40" t="n"/>
      <c r="F63" s="40" t="n"/>
      <c r="G63" s="42" t="n"/>
      <c r="H63" s="40" t="n"/>
    </row>
    <row r="64">
      <c r="A64" s="40" t="n"/>
      <c r="B64" s="54" t="n"/>
      <c r="C64" s="40" t="n"/>
      <c r="D64" s="40" t="n"/>
      <c r="E64" s="40" t="n"/>
      <c r="F64" s="40" t="n"/>
      <c r="G64" s="42" t="n"/>
      <c r="H64" s="40" t="n"/>
    </row>
    <row r="65">
      <c r="A65" s="40" t="n"/>
      <c r="B65" s="54" t="n"/>
      <c r="C65" s="40" t="n"/>
      <c r="D65" s="40" t="n"/>
      <c r="E65" s="40" t="n"/>
      <c r="F65" s="40" t="n"/>
      <c r="G65" s="42" t="n"/>
      <c r="H65" s="40" t="n"/>
    </row>
    <row r="66">
      <c r="A66" s="40" t="n"/>
      <c r="B66" s="54" t="n"/>
      <c r="C66" s="40" t="n"/>
      <c r="D66" s="40" t="n"/>
      <c r="E66" s="40" t="n"/>
      <c r="F66" s="40" t="n"/>
      <c r="G66" s="42" t="n"/>
      <c r="H66" s="40" t="n"/>
    </row>
    <row r="67">
      <c r="A67" s="40" t="n"/>
      <c r="B67" s="54" t="n"/>
      <c r="C67" s="40" t="n"/>
      <c r="D67" s="40" t="n"/>
      <c r="E67" s="40" t="n"/>
      <c r="F67" s="40" t="n"/>
      <c r="G67" s="42" t="n"/>
      <c r="H67" s="40" t="n"/>
    </row>
    <row r="68">
      <c r="A68" s="40" t="n"/>
      <c r="B68" s="54" t="n"/>
      <c r="C68" s="40" t="n"/>
      <c r="D68" s="40" t="n"/>
      <c r="E68" s="40" t="n"/>
      <c r="F68" s="40" t="n"/>
      <c r="G68" s="42" t="n"/>
      <c r="H68" s="40" t="n"/>
    </row>
    <row r="69">
      <c r="A69" s="40" t="n"/>
      <c r="B69" s="54" t="n"/>
      <c r="C69" s="40" t="n"/>
      <c r="D69" s="40" t="n"/>
      <c r="E69" s="40" t="n"/>
      <c r="F69" s="40" t="n"/>
      <c r="G69" s="42" t="n"/>
      <c r="H69" s="40" t="n"/>
    </row>
    <row r="70">
      <c r="A70" s="40" t="n"/>
      <c r="B70" s="54" t="n"/>
      <c r="C70" s="40" t="n"/>
      <c r="D70" s="40" t="n"/>
      <c r="E70" s="40" t="n"/>
      <c r="F70" s="40" t="n"/>
      <c r="G70" s="42" t="n"/>
      <c r="H70" s="40" t="n"/>
    </row>
    <row r="71">
      <c r="A71" s="40" t="n"/>
      <c r="B71" s="54" t="n"/>
      <c r="C71" s="40" t="n"/>
      <c r="D71" s="40" t="n"/>
      <c r="E71" s="40" t="n"/>
      <c r="F71" s="40" t="n"/>
      <c r="G71" s="42" t="n"/>
      <c r="H71" s="40" t="n"/>
    </row>
    <row r="72">
      <c r="A72" s="40" t="n"/>
      <c r="B72" s="54" t="n"/>
      <c r="C72" s="40" t="n"/>
      <c r="D72" s="40" t="n"/>
      <c r="E72" s="40" t="n"/>
      <c r="F72" s="40" t="n"/>
      <c r="G72" s="42" t="n"/>
      <c r="H72" s="40" t="n"/>
    </row>
    <row r="73">
      <c r="A73" s="40" t="n"/>
      <c r="B73" s="54" t="n"/>
      <c r="C73" s="40" t="n"/>
      <c r="D73" s="40" t="n"/>
      <c r="E73" s="40" t="n"/>
      <c r="F73" s="40" t="n"/>
      <c r="G73" s="42" t="n"/>
      <c r="H73" s="40" t="n"/>
    </row>
    <row r="74">
      <c r="A74" s="40" t="n"/>
      <c r="B74" s="54" t="n"/>
      <c r="C74" s="40" t="n"/>
      <c r="D74" s="40" t="n"/>
      <c r="E74" s="40" t="n"/>
      <c r="F74" s="40" t="n"/>
      <c r="G74" s="42" t="n"/>
      <c r="H74" s="40" t="n"/>
    </row>
    <row r="75">
      <c r="A75" s="40" t="n"/>
      <c r="B75" s="54" t="n"/>
      <c r="C75" s="40" t="n"/>
      <c r="D75" s="40" t="n"/>
      <c r="E75" s="40" t="n"/>
      <c r="F75" s="40" t="n"/>
      <c r="G75" s="42" t="n"/>
      <c r="H75" s="40" t="n"/>
    </row>
    <row r="76">
      <c r="A76" s="40" t="n"/>
      <c r="B76" s="54" t="n"/>
      <c r="C76" s="40" t="n"/>
      <c r="D76" s="40" t="n"/>
      <c r="E76" s="40" t="n"/>
      <c r="F76" s="40" t="n"/>
      <c r="G76" s="42" t="n"/>
      <c r="H76" s="40" t="n"/>
    </row>
    <row r="77">
      <c r="A77" s="40" t="n"/>
      <c r="B77" s="54" t="n"/>
      <c r="C77" s="40" t="n"/>
      <c r="D77" s="40" t="n"/>
      <c r="E77" s="40" t="n"/>
      <c r="F77" s="40" t="n"/>
      <c r="G77" s="42" t="n"/>
      <c r="H77" s="40" t="n"/>
    </row>
    <row r="78">
      <c r="A78" s="40" t="n"/>
      <c r="B78" s="54" t="n"/>
      <c r="C78" s="40" t="n"/>
      <c r="D78" s="40" t="n"/>
      <c r="E78" s="40" t="n"/>
      <c r="F78" s="40" t="n"/>
      <c r="G78" s="42" t="n"/>
      <c r="H78" s="40" t="n"/>
    </row>
    <row r="79">
      <c r="A79" s="40" t="n"/>
      <c r="B79" s="54" t="n"/>
      <c r="C79" s="40" t="n"/>
      <c r="D79" s="40" t="n"/>
      <c r="E79" s="40" t="n"/>
      <c r="F79" s="40" t="n"/>
      <c r="G79" s="42" t="n"/>
      <c r="H79" s="40" t="n"/>
    </row>
    <row r="80">
      <c r="A80" s="40" t="n"/>
      <c r="B80" s="54" t="n"/>
      <c r="C80" s="40" t="n"/>
      <c r="D80" s="40" t="n"/>
      <c r="E80" s="40" t="n"/>
      <c r="F80" s="40" t="n"/>
      <c r="G80" s="42" t="n"/>
      <c r="H80" s="40" t="n"/>
    </row>
    <row r="81">
      <c r="A81" s="40" t="n"/>
      <c r="B81" s="54" t="n"/>
      <c r="C81" s="40" t="n"/>
      <c r="D81" s="40" t="n"/>
      <c r="E81" s="40" t="n"/>
      <c r="F81" s="40" t="n"/>
      <c r="G81" s="42" t="n"/>
      <c r="H81" s="40" t="n"/>
    </row>
    <row r="82">
      <c r="A82" s="40" t="n"/>
      <c r="B82" s="54" t="n"/>
      <c r="C82" s="40" t="n"/>
      <c r="D82" s="40" t="n"/>
      <c r="E82" s="40" t="n"/>
      <c r="F82" s="40" t="n"/>
      <c r="G82" s="42" t="n"/>
      <c r="H82" s="40" t="n"/>
    </row>
    <row r="83">
      <c r="A83" s="40" t="n"/>
      <c r="B83" s="54" t="n"/>
      <c r="C83" s="40" t="n"/>
      <c r="D83" s="40" t="n"/>
      <c r="E83" s="40" t="n"/>
      <c r="F83" s="40" t="n"/>
      <c r="G83" s="42" t="n"/>
      <c r="H83" s="40" t="n"/>
    </row>
    <row r="84">
      <c r="A84" s="40" t="n"/>
      <c r="B84" s="54" t="n"/>
      <c r="C84" s="40" t="n"/>
      <c r="D84" s="40" t="n"/>
      <c r="E84" s="40" t="n"/>
      <c r="F84" s="40" t="n"/>
      <c r="G84" s="42" t="n"/>
      <c r="H84" s="40" t="n"/>
    </row>
    <row r="85">
      <c r="A85" s="40" t="n"/>
      <c r="B85" s="54" t="n"/>
      <c r="C85" s="40" t="n"/>
      <c r="D85" s="40" t="n"/>
      <c r="E85" s="40" t="n"/>
      <c r="F85" s="40" t="n"/>
      <c r="G85" s="42" t="n"/>
      <c r="H85" s="40" t="n"/>
    </row>
    <row r="86">
      <c r="A86" s="40" t="n"/>
      <c r="B86" s="54" t="n"/>
      <c r="C86" s="40" t="n"/>
      <c r="D86" s="40" t="n"/>
      <c r="E86" s="40" t="n"/>
      <c r="F86" s="40" t="n"/>
      <c r="G86" s="42" t="n"/>
      <c r="H86" s="40" t="n"/>
    </row>
    <row r="87">
      <c r="A87" s="40" t="n"/>
      <c r="B87" s="54" t="n"/>
      <c r="C87" s="40" t="n"/>
      <c r="D87" s="40" t="n"/>
      <c r="E87" s="40" t="n"/>
      <c r="F87" s="40" t="n"/>
      <c r="G87" s="42" t="n"/>
      <c r="H87" s="40" t="n"/>
    </row>
    <row r="88">
      <c r="A88" s="40" t="n"/>
      <c r="B88" s="54" t="n"/>
      <c r="C88" s="40" t="n"/>
      <c r="D88" s="40" t="n"/>
      <c r="E88" s="40" t="n"/>
      <c r="F88" s="40" t="n"/>
      <c r="G88" s="42" t="n"/>
      <c r="H88" s="40" t="n"/>
    </row>
    <row r="89">
      <c r="A89" s="40" t="n"/>
      <c r="B89" s="54" t="n"/>
      <c r="C89" s="40" t="n"/>
      <c r="D89" s="40" t="n"/>
      <c r="E89" s="40" t="n"/>
      <c r="F89" s="40" t="n"/>
      <c r="G89" s="42" t="n"/>
      <c r="H89" s="40" t="n"/>
    </row>
    <row r="90">
      <c r="A90" s="40" t="n"/>
      <c r="B90" s="54" t="n"/>
      <c r="C90" s="40" t="n"/>
      <c r="D90" s="40" t="n"/>
      <c r="E90" s="40" t="n"/>
      <c r="F90" s="40" t="n"/>
      <c r="G90" s="42" t="n"/>
      <c r="H90" s="40" t="n"/>
    </row>
    <row r="91">
      <c r="A91" s="40" t="n"/>
      <c r="B91" s="54" t="n"/>
      <c r="C91" s="40" t="n"/>
      <c r="D91" s="40" t="n"/>
      <c r="E91" s="40" t="n"/>
      <c r="F91" s="40" t="n"/>
      <c r="G91" s="42" t="n"/>
      <c r="H91" s="40" t="n"/>
    </row>
    <row r="92">
      <c r="A92" s="40" t="n"/>
      <c r="B92" s="54" t="n"/>
      <c r="C92" s="40" t="n"/>
      <c r="D92" s="40" t="n"/>
      <c r="E92" s="40" t="n"/>
      <c r="F92" s="40" t="n"/>
      <c r="G92" s="42" t="n"/>
      <c r="H92" s="40" t="n"/>
    </row>
    <row r="93">
      <c r="A93" s="40" t="n"/>
      <c r="B93" s="54" t="n"/>
      <c r="C93" s="40" t="n"/>
      <c r="D93" s="40" t="n"/>
      <c r="E93" s="40" t="n"/>
      <c r="F93" s="40" t="n"/>
      <c r="G93" s="42" t="n"/>
      <c r="H93" s="40" t="n"/>
    </row>
    <row r="94">
      <c r="A94" s="40" t="n"/>
      <c r="B94" s="54" t="n"/>
      <c r="C94" s="40" t="n"/>
      <c r="D94" s="40" t="n"/>
      <c r="E94" s="40" t="n"/>
      <c r="F94" s="40" t="n"/>
      <c r="G94" s="42" t="n"/>
      <c r="H94" s="40" t="n"/>
    </row>
    <row r="95">
      <c r="A95" s="40" t="n"/>
      <c r="B95" s="54" t="n"/>
      <c r="C95" s="40" t="n"/>
      <c r="D95" s="40" t="n"/>
      <c r="E95" s="40" t="n"/>
      <c r="F95" s="40" t="n"/>
      <c r="G95" s="42" t="n"/>
      <c r="H95" s="40" t="n"/>
    </row>
    <row r="96">
      <c r="A96" s="40" t="n"/>
      <c r="B96" s="54" t="n"/>
      <c r="C96" s="40" t="n"/>
      <c r="D96" s="40" t="n"/>
      <c r="E96" s="40" t="n"/>
      <c r="F96" s="40" t="n"/>
      <c r="G96" s="42" t="n"/>
      <c r="H96" s="40" t="n"/>
    </row>
    <row r="97">
      <c r="A97" s="40" t="n"/>
      <c r="B97" s="54" t="n"/>
      <c r="C97" s="40" t="n"/>
      <c r="D97" s="40" t="n"/>
      <c r="E97" s="40" t="n"/>
      <c r="F97" s="40" t="n"/>
      <c r="G97" s="42" t="n"/>
      <c r="H97" s="40" t="n"/>
    </row>
    <row r="98">
      <c r="A98" s="40" t="n"/>
      <c r="B98" s="54" t="n"/>
      <c r="C98" s="40" t="n"/>
      <c r="D98" s="40" t="n"/>
      <c r="E98" s="40" t="n"/>
      <c r="F98" s="40" t="n"/>
      <c r="G98" s="42" t="n"/>
      <c r="H98" s="40" t="n"/>
    </row>
    <row r="99">
      <c r="A99" s="40" t="n"/>
      <c r="B99" s="54" t="n"/>
      <c r="C99" s="40" t="n"/>
      <c r="D99" s="40" t="n"/>
      <c r="E99" s="40" t="n"/>
      <c r="F99" s="40" t="n"/>
      <c r="G99" s="42" t="n"/>
      <c r="H99" s="40" t="n"/>
    </row>
    <row r="100">
      <c r="A100" s="40" t="n"/>
      <c r="B100" s="54" t="n"/>
      <c r="C100" s="40" t="n"/>
      <c r="D100" s="40" t="n"/>
      <c r="E100" s="40" t="n"/>
      <c r="F100" s="40" t="n"/>
      <c r="G100" s="42" t="n"/>
      <c r="H100" s="40" t="n"/>
    </row>
    <row r="101">
      <c r="A101" s="40" t="n"/>
      <c r="B101" s="54" t="n"/>
      <c r="C101" s="40" t="n"/>
      <c r="D101" s="40" t="n"/>
      <c r="E101" s="40" t="n"/>
      <c r="F101" s="40" t="n"/>
      <c r="G101" s="42" t="n"/>
      <c r="H101" s="40" t="n"/>
    </row>
    <row r="102">
      <c r="A102" s="40" t="n"/>
      <c r="B102" s="54" t="n"/>
      <c r="C102" s="40" t="n"/>
      <c r="D102" s="40" t="n"/>
      <c r="E102" s="40" t="n"/>
      <c r="F102" s="40" t="n"/>
      <c r="G102" s="42" t="n"/>
      <c r="H102" s="40" t="n"/>
    </row>
    <row r="103">
      <c r="A103" s="40" t="n"/>
      <c r="B103" s="54" t="n"/>
      <c r="C103" s="40" t="n"/>
      <c r="D103" s="40" t="n"/>
      <c r="E103" s="40" t="n"/>
      <c r="F103" s="40" t="n"/>
      <c r="G103" s="42" t="n"/>
      <c r="H103" s="40" t="n"/>
    </row>
    <row r="104">
      <c r="A104" s="40" t="n"/>
      <c r="B104" s="54" t="n"/>
      <c r="C104" s="40" t="n"/>
      <c r="D104" s="40" t="n"/>
      <c r="E104" s="40" t="n"/>
      <c r="F104" s="40" t="n"/>
      <c r="G104" s="42" t="n"/>
      <c r="H104" s="40" t="n"/>
    </row>
    <row r="105">
      <c r="A105" s="40" t="n"/>
      <c r="B105" s="54" t="n"/>
      <c r="C105" s="40" t="n"/>
      <c r="D105" s="40" t="n"/>
      <c r="E105" s="40" t="n"/>
      <c r="F105" s="40" t="n"/>
      <c r="G105" s="42" t="n"/>
      <c r="H105" s="40" t="n"/>
    </row>
    <row r="106">
      <c r="A106" s="40" t="n"/>
      <c r="B106" s="54" t="n"/>
      <c r="C106" s="40" t="n"/>
      <c r="D106" s="40" t="n"/>
      <c r="E106" s="40" t="n"/>
      <c r="F106" s="40" t="n"/>
      <c r="G106" s="42" t="n"/>
      <c r="H106" s="40" t="n"/>
    </row>
    <row r="107">
      <c r="A107" s="40" t="n"/>
      <c r="B107" s="54" t="n"/>
      <c r="C107" s="40" t="n"/>
      <c r="D107" s="40" t="n"/>
      <c r="E107" s="40" t="n"/>
      <c r="F107" s="40" t="n"/>
      <c r="G107" s="42" t="n"/>
      <c r="H107" s="40" t="n"/>
    </row>
    <row r="108">
      <c r="A108" s="40" t="n"/>
      <c r="B108" s="54" t="n"/>
      <c r="C108" s="40" t="n"/>
      <c r="D108" s="40" t="n"/>
      <c r="E108" s="40" t="n"/>
      <c r="F108" s="40" t="n"/>
      <c r="G108" s="42" t="n"/>
      <c r="H108" s="40" t="n"/>
    </row>
    <row r="109">
      <c r="A109" s="40" t="n"/>
      <c r="B109" s="54" t="n"/>
      <c r="C109" s="40" t="n"/>
      <c r="D109" s="40" t="n"/>
      <c r="E109" s="40" t="n"/>
      <c r="F109" s="40" t="n"/>
      <c r="G109" s="42" t="n"/>
      <c r="H109" s="40" t="n"/>
    </row>
    <row r="110">
      <c r="A110" s="40" t="n"/>
      <c r="B110" s="54" t="n"/>
      <c r="C110" s="40" t="n"/>
      <c r="D110" s="40" t="n"/>
      <c r="E110" s="40" t="n"/>
      <c r="F110" s="40" t="n"/>
      <c r="G110" s="42" t="n"/>
      <c r="H110" s="40" t="n"/>
    </row>
    <row r="111">
      <c r="A111" s="40" t="n"/>
      <c r="B111" s="54" t="n"/>
      <c r="C111" s="40" t="n"/>
      <c r="D111" s="40" t="n"/>
      <c r="E111" s="40" t="n"/>
      <c r="F111" s="40" t="n"/>
      <c r="G111" s="42" t="n"/>
      <c r="H111" s="40" t="n"/>
    </row>
    <row r="112">
      <c r="A112" s="40" t="n"/>
      <c r="B112" s="54" t="n"/>
      <c r="C112" s="40" t="n"/>
      <c r="D112" s="40" t="n"/>
      <c r="E112" s="40" t="n"/>
      <c r="F112" s="40" t="n"/>
      <c r="G112" s="42" t="n"/>
      <c r="H112" s="40" t="n"/>
    </row>
    <row r="113">
      <c r="A113" s="40" t="n"/>
      <c r="B113" s="54" t="n"/>
      <c r="C113" s="40" t="n"/>
      <c r="D113" s="40" t="n"/>
      <c r="E113" s="40" t="n"/>
      <c r="F113" s="40" t="n"/>
      <c r="G113" s="42" t="n"/>
      <c r="H113" s="40" t="n"/>
    </row>
    <row r="114">
      <c r="A114" s="40" t="n"/>
      <c r="B114" s="54" t="n"/>
      <c r="C114" s="40" t="n"/>
      <c r="D114" s="40" t="n"/>
      <c r="E114" s="40" t="n"/>
      <c r="F114" s="40" t="n"/>
      <c r="G114" s="42" t="n"/>
      <c r="H114" s="40" t="n"/>
    </row>
    <row r="115">
      <c r="A115" s="40" t="n"/>
      <c r="B115" s="54" t="n"/>
      <c r="C115" s="40" t="n"/>
      <c r="D115" s="40" t="n"/>
      <c r="E115" s="40" t="n"/>
      <c r="F115" s="40" t="n"/>
      <c r="G115" s="42" t="n"/>
      <c r="H115" s="40" t="n"/>
    </row>
    <row r="116">
      <c r="A116" s="40" t="n"/>
      <c r="B116" s="54" t="n"/>
      <c r="C116" s="40" t="n"/>
      <c r="D116" s="40" t="n"/>
      <c r="E116" s="40" t="n"/>
      <c r="F116" s="40" t="n"/>
      <c r="G116" s="42" t="n"/>
      <c r="H116" s="40" t="n"/>
    </row>
    <row r="117">
      <c r="A117" s="40" t="n"/>
      <c r="B117" s="54" t="n"/>
      <c r="C117" s="40" t="n"/>
      <c r="D117" s="40" t="n"/>
      <c r="E117" s="40" t="n"/>
      <c r="F117" s="40" t="n"/>
      <c r="G117" s="42" t="n"/>
      <c r="H117" s="40" t="n"/>
    </row>
    <row r="118">
      <c r="A118" s="40" t="n"/>
      <c r="B118" s="54" t="n"/>
      <c r="C118" s="40" t="n"/>
      <c r="D118" s="40" t="n"/>
      <c r="E118" s="40" t="n"/>
      <c r="F118" s="40" t="n"/>
      <c r="G118" s="42" t="n"/>
      <c r="H118" s="40" t="n"/>
    </row>
    <row r="119">
      <c r="A119" s="40" t="n"/>
      <c r="B119" s="54" t="n"/>
      <c r="C119" s="40" t="n"/>
      <c r="D119" s="40" t="n"/>
      <c r="E119" s="40" t="n"/>
      <c r="F119" s="40" t="n"/>
      <c r="G119" s="42" t="n"/>
      <c r="H119" s="40" t="n"/>
    </row>
    <row r="120">
      <c r="A120" s="40" t="n"/>
      <c r="B120" s="54" t="n"/>
      <c r="C120" s="40" t="n"/>
      <c r="D120" s="40" t="n"/>
      <c r="E120" s="40" t="n"/>
      <c r="F120" s="40" t="n"/>
      <c r="G120" s="42" t="n"/>
      <c r="H120" s="40" t="n"/>
    </row>
    <row r="121">
      <c r="A121" s="40" t="n"/>
      <c r="B121" s="54" t="n"/>
      <c r="C121" s="40" t="n"/>
      <c r="D121" s="40" t="n"/>
      <c r="E121" s="40" t="n"/>
      <c r="F121" s="40" t="n"/>
      <c r="G121" s="42" t="n"/>
      <c r="H121" s="40" t="n"/>
    </row>
    <row r="122">
      <c r="A122" s="40" t="n"/>
      <c r="B122" s="54" t="n"/>
      <c r="C122" s="40" t="n"/>
      <c r="D122" s="40" t="n"/>
      <c r="E122" s="40" t="n"/>
      <c r="F122" s="40" t="n"/>
      <c r="G122" s="42" t="n"/>
      <c r="H122" s="40" t="n"/>
    </row>
    <row r="123">
      <c r="A123" s="40" t="n"/>
      <c r="B123" s="54" t="n"/>
      <c r="C123" s="40" t="n"/>
      <c r="D123" s="40" t="n"/>
      <c r="E123" s="40" t="n"/>
      <c r="F123" s="40" t="n"/>
      <c r="G123" s="42" t="n"/>
      <c r="H123" s="40" t="n"/>
    </row>
    <row r="124">
      <c r="A124" s="40" t="n"/>
      <c r="B124" s="54" t="n"/>
      <c r="C124" s="40" t="n"/>
      <c r="D124" s="40" t="n"/>
      <c r="E124" s="40" t="n"/>
      <c r="F124" s="40" t="n"/>
      <c r="G124" s="42" t="n"/>
      <c r="H124" s="40" t="n"/>
    </row>
    <row r="125">
      <c r="A125" s="40" t="n"/>
      <c r="B125" s="54" t="n"/>
      <c r="C125" s="40" t="n"/>
      <c r="D125" s="40" t="n"/>
      <c r="E125" s="40" t="n"/>
      <c r="F125" s="40" t="n"/>
      <c r="G125" s="42" t="n"/>
      <c r="H125" s="40" t="n"/>
    </row>
    <row r="126">
      <c r="A126" s="40" t="n"/>
      <c r="B126" s="54" t="n"/>
      <c r="C126" s="40" t="n"/>
      <c r="D126" s="40" t="n"/>
      <c r="E126" s="40" t="n"/>
      <c r="F126" s="40" t="n"/>
      <c r="G126" s="42" t="n"/>
      <c r="H126" s="40" t="n"/>
    </row>
    <row r="127">
      <c r="A127" s="40" t="n"/>
      <c r="B127" s="54" t="n"/>
      <c r="C127" s="40" t="n"/>
      <c r="D127" s="40" t="n"/>
      <c r="E127" s="40" t="n"/>
      <c r="F127" s="40" t="n"/>
      <c r="G127" s="42" t="n"/>
      <c r="H127" s="40" t="n"/>
    </row>
    <row r="128">
      <c r="A128" s="40" t="n"/>
      <c r="B128" s="54" t="n"/>
      <c r="C128" s="40" t="n"/>
      <c r="D128" s="40" t="n"/>
      <c r="E128" s="40" t="n"/>
      <c r="F128" s="40" t="n"/>
      <c r="G128" s="42" t="n"/>
      <c r="H128" s="40" t="n"/>
    </row>
    <row r="129">
      <c r="A129" s="40" t="n"/>
      <c r="B129" s="54" t="n"/>
      <c r="C129" s="40" t="n"/>
      <c r="D129" s="40" t="n"/>
      <c r="E129" s="40" t="n"/>
      <c r="F129" s="40" t="n"/>
      <c r="G129" s="42" t="n"/>
      <c r="H129" s="40" t="n"/>
    </row>
    <row r="130">
      <c r="A130" s="40" t="n"/>
      <c r="B130" s="54" t="n"/>
      <c r="C130" s="40" t="n"/>
      <c r="D130" s="40" t="n"/>
      <c r="E130" s="40" t="n"/>
      <c r="F130" s="40" t="n"/>
      <c r="G130" s="42" t="n"/>
      <c r="H130" s="40" t="n"/>
    </row>
    <row r="131">
      <c r="A131" s="40" t="n"/>
      <c r="B131" s="54" t="n"/>
      <c r="C131" s="40" t="n"/>
      <c r="D131" s="40" t="n"/>
      <c r="E131" s="40" t="n"/>
      <c r="F131" s="40" t="n"/>
      <c r="G131" s="42" t="n"/>
      <c r="H131" s="40" t="n"/>
    </row>
    <row r="132">
      <c r="A132" s="40" t="n"/>
      <c r="B132" s="54" t="n"/>
      <c r="C132" s="40" t="n"/>
      <c r="D132" s="40" t="n"/>
      <c r="E132" s="40" t="n"/>
      <c r="F132" s="40" t="n"/>
      <c r="G132" s="42" t="n"/>
      <c r="H132" s="40" t="n"/>
    </row>
    <row r="133">
      <c r="A133" s="40" t="n"/>
      <c r="B133" s="54" t="n"/>
      <c r="C133" s="40" t="n"/>
      <c r="D133" s="40" t="n"/>
      <c r="E133" s="40" t="n"/>
      <c r="F133" s="40" t="n"/>
      <c r="G133" s="42" t="n"/>
      <c r="H133" s="40" t="n"/>
    </row>
    <row r="134">
      <c r="A134" s="40" t="n"/>
      <c r="B134" s="54" t="n"/>
      <c r="C134" s="40" t="n"/>
      <c r="D134" s="40" t="n"/>
      <c r="E134" s="40" t="n"/>
      <c r="F134" s="40" t="n"/>
      <c r="G134" s="42" t="n"/>
      <c r="H134" s="40" t="n"/>
    </row>
    <row r="135">
      <c r="A135" s="40" t="n"/>
      <c r="B135" s="54" t="n"/>
      <c r="C135" s="40" t="n"/>
      <c r="D135" s="40" t="n"/>
      <c r="E135" s="40" t="n"/>
      <c r="F135" s="40" t="n"/>
      <c r="G135" s="42" t="n"/>
      <c r="H135" s="40" t="n"/>
    </row>
    <row r="136">
      <c r="A136" s="40" t="n"/>
      <c r="B136" s="54" t="n"/>
      <c r="C136" s="40" t="n"/>
      <c r="D136" s="40" t="n"/>
      <c r="E136" s="40" t="n"/>
      <c r="F136" s="40" t="n"/>
      <c r="G136" s="42" t="n"/>
      <c r="H136" s="40" t="n"/>
    </row>
    <row r="137">
      <c r="A137" s="40" t="n"/>
      <c r="B137" s="54" t="n"/>
      <c r="C137" s="40" t="n"/>
      <c r="D137" s="40" t="n"/>
      <c r="E137" s="40" t="n"/>
      <c r="F137" s="40" t="n"/>
      <c r="G137" s="42" t="n"/>
      <c r="H137" s="40" t="n"/>
    </row>
    <row r="138">
      <c r="A138" s="40" t="n"/>
      <c r="B138" s="54" t="n"/>
      <c r="C138" s="40" t="n"/>
      <c r="D138" s="40" t="n"/>
      <c r="E138" s="40" t="n"/>
      <c r="F138" s="40" t="n"/>
      <c r="G138" s="42" t="n"/>
      <c r="H138" s="40" t="n"/>
    </row>
    <row r="139">
      <c r="A139" s="40" t="n"/>
      <c r="B139" s="54" t="n"/>
      <c r="C139" s="40" t="n"/>
      <c r="D139" s="40" t="n"/>
      <c r="E139" s="40" t="n"/>
      <c r="F139" s="40" t="n"/>
      <c r="G139" s="42" t="n"/>
      <c r="H139" s="40" t="n"/>
    </row>
    <row r="140">
      <c r="A140" s="40" t="n"/>
      <c r="B140" s="54" t="n"/>
      <c r="C140" s="40" t="n"/>
      <c r="D140" s="40" t="n"/>
      <c r="E140" s="40" t="n"/>
      <c r="F140" s="40" t="n"/>
      <c r="G140" s="42" t="n"/>
      <c r="H140" s="40" t="n"/>
    </row>
    <row r="141">
      <c r="A141" s="40" t="n"/>
      <c r="B141" s="54" t="n"/>
      <c r="C141" s="40" t="n"/>
      <c r="D141" s="40" t="n"/>
      <c r="E141" s="40" t="n"/>
      <c r="F141" s="40" t="n"/>
      <c r="G141" s="42" t="n"/>
      <c r="H141" s="40" t="n"/>
    </row>
    <row r="142">
      <c r="A142" s="40" t="n"/>
      <c r="B142" s="54" t="n"/>
      <c r="C142" s="40" t="n"/>
      <c r="D142" s="40" t="n"/>
      <c r="E142" s="40" t="n"/>
      <c r="F142" s="40" t="n"/>
      <c r="G142" s="42" t="n"/>
      <c r="H142" s="40" t="n"/>
    </row>
    <row r="143">
      <c r="A143" s="40" t="n"/>
      <c r="B143" s="54" t="n"/>
      <c r="C143" s="40" t="n"/>
      <c r="D143" s="40" t="n"/>
      <c r="E143" s="40" t="n"/>
      <c r="F143" s="40" t="n"/>
      <c r="G143" s="42" t="n"/>
      <c r="H143" s="40" t="n"/>
    </row>
    <row r="144">
      <c r="A144" s="40" t="n"/>
      <c r="B144" s="54" t="n"/>
      <c r="C144" s="40" t="n"/>
      <c r="D144" s="40" t="n"/>
      <c r="E144" s="40" t="n"/>
      <c r="F144" s="40" t="n"/>
      <c r="G144" s="42" t="n"/>
      <c r="H144" s="40" t="n"/>
    </row>
    <row r="145">
      <c r="A145" s="40" t="n"/>
      <c r="B145" s="54" t="n"/>
      <c r="C145" s="40" t="n"/>
      <c r="D145" s="40" t="n"/>
      <c r="E145" s="40" t="n"/>
      <c r="F145" s="40" t="n"/>
      <c r="G145" s="42" t="n"/>
      <c r="H145" s="40" t="n"/>
    </row>
    <row r="146">
      <c r="A146" s="40" t="n"/>
      <c r="B146" s="54" t="n"/>
      <c r="C146" s="40" t="n"/>
      <c r="D146" s="40" t="n"/>
      <c r="E146" s="40" t="n"/>
      <c r="F146" s="40" t="n"/>
      <c r="G146" s="42" t="n"/>
      <c r="H146" s="40" t="n"/>
    </row>
    <row r="147">
      <c r="A147" s="40" t="n"/>
      <c r="B147" s="54" t="n"/>
      <c r="C147" s="40" t="n"/>
      <c r="D147" s="40" t="n"/>
      <c r="E147" s="40" t="n"/>
      <c r="F147" s="40" t="n"/>
      <c r="G147" s="42" t="n"/>
      <c r="H147" s="40" t="n"/>
    </row>
    <row r="148">
      <c r="A148" s="40" t="n"/>
      <c r="B148" s="54" t="n"/>
      <c r="C148" s="40" t="n"/>
      <c r="D148" s="40" t="n"/>
      <c r="E148" s="40" t="n"/>
      <c r="F148" s="40" t="n"/>
      <c r="G148" s="42" t="n"/>
      <c r="H148" s="40" t="n"/>
    </row>
    <row r="149">
      <c r="A149" s="40" t="n"/>
      <c r="B149" s="54" t="n"/>
      <c r="C149" s="40" t="n"/>
      <c r="D149" s="40" t="n"/>
      <c r="E149" s="40" t="n"/>
      <c r="F149" s="40" t="n"/>
      <c r="G149" s="42" t="n"/>
      <c r="H149" s="40" t="n"/>
    </row>
    <row r="150">
      <c r="A150" s="40" t="n"/>
      <c r="B150" s="54" t="n"/>
      <c r="C150" s="40" t="n"/>
      <c r="D150" s="40" t="n"/>
      <c r="E150" s="40" t="n"/>
      <c r="F150" s="40" t="n"/>
      <c r="G150" s="42" t="n"/>
      <c r="H150" s="40" t="n"/>
    </row>
    <row r="151">
      <c r="A151" s="40" t="n"/>
      <c r="B151" s="54" t="n"/>
      <c r="C151" s="40" t="n"/>
      <c r="D151" s="40" t="n"/>
      <c r="E151" s="40" t="n"/>
      <c r="F151" s="40" t="n"/>
      <c r="G151" s="42" t="n"/>
      <c r="H151" s="40" t="n"/>
    </row>
    <row r="152">
      <c r="A152" s="40" t="n"/>
      <c r="B152" s="54" t="n"/>
      <c r="C152" s="40" t="n"/>
      <c r="D152" s="40" t="n"/>
      <c r="E152" s="40" t="n"/>
      <c r="F152" s="40" t="n"/>
      <c r="G152" s="42" t="n"/>
      <c r="H152" s="40" t="n"/>
    </row>
    <row r="153">
      <c r="A153" s="40" t="n"/>
      <c r="B153" s="54" t="n"/>
      <c r="C153" s="40" t="n"/>
      <c r="D153" s="40" t="n"/>
      <c r="E153" s="40" t="n"/>
      <c r="F153" s="40" t="n"/>
      <c r="G153" s="42" t="n"/>
      <c r="H153" s="40" t="n"/>
    </row>
    <row r="154">
      <c r="A154" s="40" t="n"/>
      <c r="B154" s="54" t="n"/>
      <c r="C154" s="40" t="n"/>
      <c r="D154" s="40" t="n"/>
      <c r="E154" s="40" t="n"/>
      <c r="F154" s="40" t="n"/>
      <c r="G154" s="42" t="n"/>
      <c r="H154" s="40" t="n"/>
    </row>
    <row r="155">
      <c r="A155" s="40" t="n"/>
      <c r="B155" s="54" t="n"/>
      <c r="C155" s="40" t="n"/>
      <c r="D155" s="40" t="n"/>
      <c r="E155" s="40" t="n"/>
      <c r="F155" s="40" t="n"/>
      <c r="G155" s="42" t="n"/>
      <c r="H155" s="40" t="n"/>
    </row>
    <row r="156">
      <c r="A156" s="40" t="n"/>
      <c r="B156" s="54" t="n"/>
      <c r="C156" s="40" t="n"/>
      <c r="D156" s="40" t="n"/>
      <c r="E156" s="40" t="n"/>
      <c r="F156" s="40" t="n"/>
      <c r="G156" s="42" t="n"/>
      <c r="H156" s="40" t="n"/>
    </row>
    <row r="157">
      <c r="A157" s="40" t="n"/>
      <c r="B157" s="54" t="n"/>
      <c r="C157" s="40" t="n"/>
      <c r="D157" s="40" t="n"/>
      <c r="E157" s="40" t="n"/>
      <c r="F157" s="40" t="n"/>
      <c r="G157" s="42" t="n"/>
      <c r="H157" s="40" t="n"/>
    </row>
    <row r="158">
      <c r="A158" s="40" t="n"/>
      <c r="B158" s="54" t="n"/>
      <c r="C158" s="40" t="n"/>
      <c r="D158" s="40" t="n"/>
      <c r="E158" s="40" t="n"/>
      <c r="F158" s="40" t="n"/>
      <c r="G158" s="42" t="n"/>
      <c r="H158" s="40" t="n"/>
    </row>
    <row r="159">
      <c r="A159" s="40" t="n"/>
      <c r="B159" s="54" t="n"/>
      <c r="C159" s="40" t="n"/>
      <c r="D159" s="40" t="n"/>
      <c r="E159" s="40" t="n"/>
      <c r="F159" s="40" t="n"/>
      <c r="G159" s="42" t="n"/>
      <c r="H159" s="40" t="n"/>
    </row>
    <row r="160">
      <c r="A160" s="40" t="n"/>
      <c r="B160" s="54" t="n"/>
      <c r="C160" s="40" t="n"/>
      <c r="D160" s="40" t="n"/>
      <c r="E160" s="40" t="n"/>
      <c r="F160" s="40" t="n"/>
      <c r="G160" s="42" t="n"/>
      <c r="H160" s="40" t="n"/>
    </row>
    <row r="161">
      <c r="A161" s="40" t="n"/>
      <c r="B161" s="54" t="n"/>
      <c r="C161" s="40" t="n"/>
      <c r="D161" s="40" t="n"/>
      <c r="E161" s="40" t="n"/>
      <c r="F161" s="40" t="n"/>
      <c r="G161" s="42" t="n"/>
      <c r="H161" s="40" t="n"/>
    </row>
    <row r="162">
      <c r="A162" s="40" t="n"/>
      <c r="B162" s="54" t="n"/>
      <c r="C162" s="40" t="n"/>
      <c r="D162" s="40" t="n"/>
      <c r="E162" s="40" t="n"/>
      <c r="F162" s="40" t="n"/>
      <c r="G162" s="42" t="n"/>
      <c r="H162" s="40" t="n"/>
    </row>
    <row r="163">
      <c r="A163" s="40" t="n"/>
      <c r="B163" s="54" t="n"/>
      <c r="C163" s="40" t="n"/>
      <c r="D163" s="40" t="n"/>
      <c r="E163" s="40" t="n"/>
      <c r="F163" s="40" t="n"/>
      <c r="G163" s="42" t="n"/>
      <c r="H163" s="40" t="n"/>
    </row>
    <row r="164">
      <c r="A164" s="40" t="n"/>
      <c r="B164" s="54" t="n"/>
      <c r="C164" s="40" t="n"/>
      <c r="D164" s="40" t="n"/>
      <c r="E164" s="40" t="n"/>
      <c r="F164" s="40" t="n"/>
      <c r="G164" s="42" t="n"/>
      <c r="H164" s="40" t="n"/>
    </row>
    <row r="165">
      <c r="A165" s="40" t="n"/>
      <c r="B165" s="54" t="n"/>
      <c r="C165" s="40" t="n"/>
      <c r="D165" s="40" t="n"/>
      <c r="E165" s="40" t="n"/>
      <c r="F165" s="40" t="n"/>
      <c r="G165" s="42" t="n"/>
      <c r="H165" s="40" t="n"/>
    </row>
    <row r="166">
      <c r="A166" s="40" t="n"/>
      <c r="B166" s="54" t="n"/>
      <c r="C166" s="40" t="n"/>
      <c r="D166" s="40" t="n"/>
      <c r="E166" s="40" t="n"/>
      <c r="F166" s="40" t="n"/>
      <c r="G166" s="42" t="n"/>
      <c r="H166" s="40" t="n"/>
    </row>
    <row r="167">
      <c r="A167" s="40" t="n"/>
      <c r="B167" s="54" t="n"/>
      <c r="C167" s="40" t="n"/>
      <c r="D167" s="40" t="n"/>
      <c r="E167" s="40" t="n"/>
      <c r="F167" s="40" t="n"/>
      <c r="G167" s="42" t="n"/>
      <c r="H167" s="40" t="n"/>
    </row>
    <row r="168">
      <c r="A168" s="40" t="n"/>
      <c r="B168" s="54" t="n"/>
      <c r="C168" s="40" t="n"/>
      <c r="D168" s="40" t="n"/>
      <c r="E168" s="40" t="n"/>
      <c r="F168" s="40" t="n"/>
      <c r="G168" s="42" t="n"/>
      <c r="H168" s="40" t="n"/>
    </row>
    <row r="169">
      <c r="A169" s="40" t="n"/>
      <c r="B169" s="54" t="n"/>
      <c r="C169" s="40" t="n"/>
      <c r="D169" s="40" t="n"/>
      <c r="E169" s="40" t="n"/>
      <c r="F169" s="40" t="n"/>
      <c r="G169" s="42" t="n"/>
      <c r="H169" s="40" t="n"/>
    </row>
    <row r="170">
      <c r="A170" s="40" t="n"/>
      <c r="B170" s="54" t="n"/>
      <c r="C170" s="40" t="n"/>
      <c r="D170" s="40" t="n"/>
      <c r="E170" s="40" t="n"/>
      <c r="F170" s="40" t="n"/>
      <c r="G170" s="42" t="n"/>
      <c r="H170" s="40" t="n"/>
    </row>
    <row r="171">
      <c r="A171" s="40" t="n"/>
      <c r="B171" s="54" t="n"/>
      <c r="C171" s="40" t="n"/>
      <c r="D171" s="40" t="n"/>
      <c r="E171" s="40" t="n"/>
      <c r="F171" s="40" t="n"/>
      <c r="G171" s="42" t="n"/>
      <c r="H171" s="40" t="n"/>
    </row>
    <row r="172">
      <c r="A172" s="40" t="n"/>
      <c r="B172" s="54" t="n"/>
      <c r="C172" s="40" t="n"/>
      <c r="D172" s="40" t="n"/>
      <c r="E172" s="40" t="n"/>
      <c r="F172" s="40" t="n"/>
      <c r="G172" s="42" t="n"/>
      <c r="H172" s="40" t="n"/>
    </row>
    <row r="173">
      <c r="A173" s="40" t="n"/>
      <c r="B173" s="54" t="n"/>
      <c r="C173" s="40" t="n"/>
      <c r="D173" s="40" t="n"/>
      <c r="E173" s="40" t="n"/>
      <c r="F173" s="40" t="n"/>
      <c r="G173" s="42" t="n"/>
      <c r="H173" s="40" t="n"/>
    </row>
    <row r="174">
      <c r="A174" s="40" t="n"/>
      <c r="B174" s="54" t="n"/>
      <c r="C174" s="40" t="n"/>
      <c r="D174" s="40" t="n"/>
      <c r="E174" s="40" t="n"/>
      <c r="F174" s="40" t="n"/>
      <c r="G174" s="42" t="n"/>
      <c r="H174" s="40" t="n"/>
    </row>
    <row r="175">
      <c r="A175" s="40" t="n"/>
      <c r="B175" s="54" t="n"/>
      <c r="C175" s="40" t="n"/>
      <c r="D175" s="40" t="n"/>
      <c r="E175" s="40" t="n"/>
      <c r="F175" s="40" t="n"/>
      <c r="G175" s="42" t="n"/>
      <c r="H175" s="40" t="n"/>
    </row>
    <row r="176">
      <c r="A176" s="40" t="n"/>
      <c r="B176" s="54" t="n"/>
      <c r="C176" s="40" t="n"/>
      <c r="D176" s="40" t="n"/>
      <c r="E176" s="40" t="n"/>
      <c r="F176" s="40" t="n"/>
      <c r="G176" s="42" t="n"/>
      <c r="H176" s="40" t="n"/>
    </row>
    <row r="177">
      <c r="A177" s="40" t="n"/>
      <c r="B177" s="54" t="n"/>
      <c r="C177" s="40" t="n"/>
      <c r="D177" s="40" t="n"/>
      <c r="E177" s="40" t="n"/>
      <c r="F177" s="40" t="n"/>
      <c r="G177" s="42" t="n"/>
      <c r="H177" s="40" t="n"/>
    </row>
    <row r="178">
      <c r="A178" s="40" t="n"/>
      <c r="B178" s="54" t="n"/>
      <c r="C178" s="40" t="n"/>
      <c r="D178" s="40" t="n"/>
      <c r="E178" s="40" t="n"/>
      <c r="F178" s="40" t="n"/>
      <c r="G178" s="42" t="n"/>
      <c r="H178" s="40" t="n"/>
    </row>
    <row r="179">
      <c r="A179" s="40" t="n"/>
      <c r="B179" s="54" t="n"/>
      <c r="C179" s="40" t="n"/>
      <c r="D179" s="40" t="n"/>
      <c r="E179" s="40" t="n"/>
      <c r="F179" s="40" t="n"/>
      <c r="G179" s="42" t="n"/>
      <c r="H179" s="40" t="n"/>
    </row>
    <row r="180">
      <c r="A180" s="40" t="n"/>
      <c r="B180" s="54" t="n"/>
      <c r="C180" s="40" t="n"/>
      <c r="D180" s="40" t="n"/>
      <c r="E180" s="40" t="n"/>
      <c r="F180" s="40" t="n"/>
      <c r="G180" s="42" t="n"/>
      <c r="H180" s="40" t="n"/>
    </row>
    <row r="181">
      <c r="A181" s="40" t="n"/>
      <c r="B181" s="54" t="n"/>
      <c r="C181" s="40" t="n"/>
      <c r="D181" s="40" t="n"/>
      <c r="E181" s="40" t="n"/>
      <c r="F181" s="40" t="n"/>
      <c r="G181" s="42" t="n"/>
      <c r="H181" s="40" t="n"/>
    </row>
    <row r="182">
      <c r="A182" s="40" t="n"/>
      <c r="B182" s="54" t="n"/>
      <c r="C182" s="40" t="n"/>
      <c r="D182" s="40" t="n"/>
      <c r="E182" s="40" t="n"/>
      <c r="F182" s="40" t="n"/>
      <c r="G182" s="42" t="n"/>
      <c r="H182" s="40" t="n"/>
    </row>
    <row r="183">
      <c r="A183" s="40" t="n"/>
      <c r="B183" s="54" t="n"/>
      <c r="C183" s="40" t="n"/>
      <c r="D183" s="40" t="n"/>
      <c r="E183" s="40" t="n"/>
      <c r="F183" s="40" t="n"/>
      <c r="G183" s="42" t="n"/>
      <c r="H183" s="40" t="n"/>
    </row>
    <row r="184">
      <c r="A184" s="40" t="n"/>
      <c r="B184" s="54" t="n"/>
      <c r="C184" s="40" t="n"/>
      <c r="D184" s="40" t="n"/>
      <c r="E184" s="40" t="n"/>
      <c r="F184" s="40" t="n"/>
      <c r="G184" s="42" t="n"/>
      <c r="H184" s="40" t="n"/>
    </row>
    <row r="185">
      <c r="A185" s="40" t="n"/>
      <c r="B185" s="54" t="n"/>
      <c r="C185" s="40" t="n"/>
      <c r="D185" s="40" t="n"/>
      <c r="E185" s="40" t="n"/>
      <c r="F185" s="40" t="n"/>
      <c r="G185" s="42" t="n"/>
      <c r="H185" s="40" t="n"/>
    </row>
    <row r="186">
      <c r="A186" s="40" t="n"/>
      <c r="B186" s="54" t="n"/>
      <c r="C186" s="40" t="n"/>
      <c r="D186" s="40" t="n"/>
      <c r="E186" s="40" t="n"/>
      <c r="F186" s="40" t="n"/>
      <c r="G186" s="42" t="n"/>
      <c r="H186" s="40" t="n"/>
    </row>
    <row r="187">
      <c r="A187" s="40" t="n"/>
      <c r="B187" s="54" t="n"/>
      <c r="C187" s="40" t="n"/>
      <c r="D187" s="40" t="n"/>
      <c r="E187" s="40" t="n"/>
      <c r="F187" s="40" t="n"/>
      <c r="G187" s="42" t="n"/>
      <c r="H187" s="40" t="n"/>
    </row>
    <row r="188">
      <c r="A188" s="40" t="n"/>
      <c r="B188" s="54" t="n"/>
      <c r="C188" s="40" t="n"/>
      <c r="D188" s="40" t="n"/>
      <c r="E188" s="40" t="n"/>
      <c r="F188" s="40" t="n"/>
      <c r="G188" s="42" t="n"/>
      <c r="H188" s="40" t="n"/>
    </row>
    <row r="189">
      <c r="A189" s="40" t="n"/>
      <c r="B189" s="54" t="n"/>
      <c r="C189" s="40" t="n"/>
      <c r="D189" s="40" t="n"/>
      <c r="E189" s="40" t="n"/>
      <c r="F189" s="40" t="n"/>
      <c r="G189" s="42" t="n"/>
      <c r="H189" s="40" t="n"/>
    </row>
    <row r="190">
      <c r="A190" s="40" t="n"/>
      <c r="B190" s="54" t="n"/>
      <c r="C190" s="40" t="n"/>
      <c r="D190" s="40" t="n"/>
      <c r="E190" s="40" t="n"/>
      <c r="F190" s="40" t="n"/>
      <c r="G190" s="42" t="n"/>
      <c r="H190" s="40" t="n"/>
    </row>
    <row r="191">
      <c r="A191" s="40" t="n"/>
      <c r="B191" s="54" t="n"/>
      <c r="C191" s="40" t="n"/>
      <c r="D191" s="40" t="n"/>
      <c r="E191" s="40" t="n"/>
      <c r="F191" s="40" t="n"/>
      <c r="G191" s="42" t="n"/>
      <c r="H191" s="40" t="n"/>
    </row>
    <row r="192">
      <c r="A192" s="40" t="n"/>
      <c r="B192" s="54" t="n"/>
      <c r="C192" s="40" t="n"/>
      <c r="D192" s="40" t="n"/>
      <c r="E192" s="40" t="n"/>
      <c r="F192" s="40" t="n"/>
      <c r="G192" s="42" t="n"/>
      <c r="H192" s="40" t="n"/>
    </row>
    <row r="193">
      <c r="A193" s="40" t="n"/>
      <c r="B193" s="54" t="n"/>
      <c r="C193" s="40" t="n"/>
      <c r="D193" s="40" t="n"/>
      <c r="E193" s="40" t="n"/>
      <c r="F193" s="40" t="n"/>
      <c r="G193" s="42" t="n"/>
      <c r="H193" s="40" t="n"/>
    </row>
    <row r="194">
      <c r="A194" s="40" t="n"/>
      <c r="B194" s="54" t="n"/>
      <c r="C194" s="40" t="n"/>
      <c r="D194" s="40" t="n"/>
      <c r="E194" s="40" t="n"/>
      <c r="F194" s="40" t="n"/>
      <c r="G194" s="42" t="n"/>
      <c r="H194" s="40" t="n"/>
    </row>
    <row r="195">
      <c r="A195" s="40" t="n"/>
      <c r="B195" s="54" t="n"/>
      <c r="C195" s="40" t="n"/>
      <c r="D195" s="40" t="n"/>
      <c r="E195" s="40" t="n"/>
      <c r="F195" s="40" t="n"/>
      <c r="G195" s="42" t="n"/>
      <c r="H195" s="40" t="n"/>
    </row>
    <row r="196">
      <c r="A196" s="40" t="n"/>
      <c r="B196" s="54" t="n"/>
      <c r="C196" s="40" t="n"/>
      <c r="D196" s="40" t="n"/>
      <c r="E196" s="40" t="n"/>
      <c r="F196" s="40" t="n"/>
      <c r="G196" s="42" t="n"/>
      <c r="H196" s="40" t="n"/>
    </row>
    <row r="197">
      <c r="A197" s="40" t="n"/>
      <c r="B197" s="54" t="n"/>
      <c r="C197" s="40" t="n"/>
      <c r="D197" s="40" t="n"/>
      <c r="E197" s="40" t="n"/>
      <c r="F197" s="40" t="n"/>
      <c r="G197" s="42" t="n"/>
      <c r="H197" s="40" t="n"/>
    </row>
    <row r="198">
      <c r="A198" s="40" t="n"/>
      <c r="B198" s="54" t="n"/>
      <c r="C198" s="40" t="n"/>
      <c r="D198" s="40" t="n"/>
      <c r="E198" s="40" t="n"/>
      <c r="F198" s="40" t="n"/>
      <c r="G198" s="42" t="n"/>
      <c r="H198" s="40" t="n"/>
    </row>
    <row r="199">
      <c r="A199" s="40" t="n"/>
      <c r="B199" s="54" t="n"/>
      <c r="C199" s="40" t="n"/>
      <c r="D199" s="40" t="n"/>
      <c r="E199" s="40" t="n"/>
      <c r="F199" s="40" t="n"/>
      <c r="G199" s="42" t="n"/>
      <c r="H199" s="40" t="n"/>
    </row>
    <row r="200">
      <c r="A200" s="40" t="n"/>
      <c r="B200" s="54" t="n"/>
      <c r="C200" s="40" t="n"/>
      <c r="D200" s="40" t="n"/>
      <c r="E200" s="40" t="n"/>
      <c r="F200" s="40" t="n"/>
      <c r="G200" s="42" t="n"/>
      <c r="H200" s="40" t="n"/>
    </row>
  </sheetData>
  <autoFilter ref="A1:H1"/>
  <conditionalFormatting sqref="B2:H200">
    <cfRule type="expression" priority="1" dxfId="0">
      <formula>$H2="Pendente"</formula>
    </cfRule>
    <cfRule type="expression" priority="2" dxfId="1">
      <formula>$H2="Pago"</formula>
    </cfRule>
    <cfRule type="expression" priority="3" dxfId="1">
      <formula>$H2="Recebido"</formula>
    </cfRule>
    <cfRule type="expression" priority="4" dxfId="2">
      <formula>$H2="A Pagar"</formula>
    </cfRule>
  </conditionalFormatting>
  <conditionalFormatting sqref="A2:A200">
    <cfRule type="expression" priority="5" dxfId="3">
      <formula>$A2="Receita"</formula>
    </cfRule>
    <cfRule type="expression" priority="6" dxfId="4">
      <formula>$A2="Despesa"</formula>
    </cfRule>
  </conditionalFormatting>
  <dataValidations count="5">
    <dataValidation sqref="A2:A500" showDropDown="0" showInputMessage="0" showErrorMessage="0" allowBlank="1" type="list">
      <formula1>"Receita,Despesa"</formula1>
    </dataValidation>
    <dataValidation sqref="D2:D500" showDropDown="0" showInputMessage="0" showErrorMessage="0" allowBlank="1" type="list">
      <formula1>Config!$A$2:$A$21</formula1>
    </dataValidation>
    <dataValidation sqref="E2:E500" showDropDown="0" showInputMessage="0" showErrorMessage="0" allowBlank="1" type="list">
      <formula1>Config!$C$2:$C$4</formula1>
    </dataValidation>
    <dataValidation sqref="F2:F500" showDropDown="0" showInputMessage="0" showErrorMessage="0" allowBlank="1" type="list">
      <formula1>Config!$G$2:$G$3</formula1>
    </dataValidation>
    <dataValidation sqref="H2:H500" showDropDown="0" showInputMessage="0" showErrorMessage="0" allowBlank="1" type="list">
      <formula1>"Pendente,Pago,A Pagar,Recebido"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E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20" customWidth="1" min="3" max="3"/>
    <col width="14" customWidth="1" min="4" max="4"/>
    <col width="14" customWidth="1" min="5" max="5"/>
  </cols>
  <sheetData>
    <row r="1" ht="26" customHeight="1">
      <c r="A1" s="39" t="inlineStr">
        <is>
          <t>Cartão</t>
        </is>
      </c>
      <c r="B1" s="39" t="inlineStr">
        <is>
          <t>Mês/Ano</t>
        </is>
      </c>
      <c r="C1" s="39" t="inlineStr">
        <is>
          <t>Valor Fatura (R$)</t>
        </is>
      </c>
      <c r="D1" s="39" t="inlineStr">
        <is>
          <t>Vencimento</t>
        </is>
      </c>
      <c r="E1" s="39" t="inlineStr">
        <is>
          <t>Status</t>
        </is>
      </c>
    </row>
    <row r="2">
      <c r="C2" s="43" t="n"/>
      <c r="D2" s="55" t="n"/>
    </row>
    <row r="3">
      <c r="C3" s="43" t="n"/>
      <c r="D3" s="55" t="n"/>
    </row>
    <row r="4">
      <c r="C4" s="43" t="n"/>
      <c r="D4" s="55" t="n"/>
    </row>
    <row r="5">
      <c r="C5" s="43" t="n"/>
      <c r="D5" s="55" t="n"/>
    </row>
    <row r="6">
      <c r="C6" s="43" t="n"/>
      <c r="D6" s="55" t="n"/>
    </row>
    <row r="7">
      <c r="C7" s="43" t="n"/>
      <c r="D7" s="55" t="n"/>
    </row>
    <row r="8">
      <c r="C8" s="43" t="n"/>
      <c r="D8" s="55" t="n"/>
    </row>
    <row r="9">
      <c r="C9" s="43" t="n"/>
      <c r="D9" s="55" t="n"/>
    </row>
    <row r="10">
      <c r="C10" s="43" t="n"/>
      <c r="D10" s="55" t="n"/>
    </row>
    <row r="11">
      <c r="C11" s="43" t="n"/>
      <c r="D11" s="55" t="n"/>
    </row>
    <row r="12">
      <c r="C12" s="43" t="n"/>
      <c r="D12" s="55" t="n"/>
    </row>
    <row r="13">
      <c r="C13" s="43" t="n"/>
      <c r="D13" s="55" t="n"/>
    </row>
    <row r="14">
      <c r="C14" s="43" t="n"/>
      <c r="D14" s="55" t="n"/>
    </row>
    <row r="15">
      <c r="C15" s="43" t="n"/>
      <c r="D15" s="55" t="n"/>
    </row>
    <row r="16">
      <c r="C16" s="43" t="n"/>
      <c r="D16" s="55" t="n"/>
    </row>
    <row r="17">
      <c r="C17" s="43" t="n"/>
      <c r="D17" s="55" t="n"/>
    </row>
    <row r="18">
      <c r="C18" s="43" t="n"/>
      <c r="D18" s="55" t="n"/>
    </row>
    <row r="19">
      <c r="C19" s="43" t="n"/>
      <c r="D19" s="55" t="n"/>
    </row>
    <row r="20">
      <c r="C20" s="43" t="n"/>
      <c r="D20" s="55" t="n"/>
    </row>
    <row r="21">
      <c r="C21" s="43" t="n"/>
      <c r="D21" s="55" t="n"/>
    </row>
    <row r="22">
      <c r="C22" s="43" t="n"/>
      <c r="D22" s="55" t="n"/>
    </row>
    <row r="23">
      <c r="C23" s="43" t="n"/>
      <c r="D23" s="55" t="n"/>
    </row>
    <row r="24">
      <c r="C24" s="43" t="n"/>
      <c r="D24" s="55" t="n"/>
    </row>
    <row r="25">
      <c r="C25" s="43" t="n"/>
      <c r="D25" s="55" t="n"/>
    </row>
    <row r="26">
      <c r="C26" s="43" t="n"/>
      <c r="D26" s="55" t="n"/>
    </row>
    <row r="27">
      <c r="C27" s="43" t="n"/>
      <c r="D27" s="55" t="n"/>
    </row>
    <row r="28">
      <c r="C28" s="43" t="n"/>
      <c r="D28" s="55" t="n"/>
    </row>
    <row r="29">
      <c r="C29" s="43" t="n"/>
      <c r="D29" s="55" t="n"/>
    </row>
    <row r="30">
      <c r="C30" s="43" t="n"/>
      <c r="D30" s="55" t="n"/>
    </row>
    <row r="31">
      <c r="C31" s="43" t="n"/>
      <c r="D31" s="55" t="n"/>
    </row>
    <row r="32">
      <c r="C32" s="43" t="n"/>
      <c r="D32" s="55" t="n"/>
    </row>
    <row r="33">
      <c r="C33" s="43" t="n"/>
      <c r="D33" s="55" t="n"/>
    </row>
    <row r="34">
      <c r="C34" s="43" t="n"/>
      <c r="D34" s="55" t="n"/>
    </row>
    <row r="35">
      <c r="C35" s="43" t="n"/>
      <c r="D35" s="55" t="n"/>
    </row>
    <row r="36">
      <c r="C36" s="43" t="n"/>
      <c r="D36" s="55" t="n"/>
    </row>
    <row r="37">
      <c r="C37" s="43" t="n"/>
      <c r="D37" s="55" t="n"/>
    </row>
    <row r="38">
      <c r="C38" s="43" t="n"/>
      <c r="D38" s="55" t="n"/>
    </row>
    <row r="39">
      <c r="C39" s="43" t="n"/>
      <c r="D39" s="55" t="n"/>
    </row>
    <row r="40">
      <c r="C40" s="43" t="n"/>
      <c r="D40" s="55" t="n"/>
    </row>
    <row r="41">
      <c r="C41" s="43" t="n"/>
      <c r="D41" s="55" t="n"/>
    </row>
    <row r="42">
      <c r="C42" s="43" t="n"/>
      <c r="D42" s="55" t="n"/>
    </row>
    <row r="43">
      <c r="C43" s="43" t="n"/>
      <c r="D43" s="55" t="n"/>
    </row>
    <row r="44">
      <c r="C44" s="43" t="n"/>
      <c r="D44" s="55" t="n"/>
    </row>
    <row r="45">
      <c r="C45" s="43" t="n"/>
      <c r="D45" s="55" t="n"/>
    </row>
    <row r="46">
      <c r="C46" s="43" t="n"/>
      <c r="D46" s="55" t="n"/>
    </row>
    <row r="47">
      <c r="C47" s="43" t="n"/>
      <c r="D47" s="55" t="n"/>
    </row>
    <row r="48">
      <c r="C48" s="43" t="n"/>
      <c r="D48" s="55" t="n"/>
    </row>
    <row r="49">
      <c r="C49" s="43" t="n"/>
      <c r="D49" s="55" t="n"/>
    </row>
    <row r="50">
      <c r="C50" s="43" t="n"/>
      <c r="D50" s="55" t="n"/>
    </row>
    <row r="51">
      <c r="C51" s="43" t="n"/>
      <c r="D51" s="55" t="n"/>
    </row>
    <row r="52">
      <c r="C52" s="43" t="n"/>
      <c r="D52" s="55" t="n"/>
    </row>
    <row r="53">
      <c r="C53" s="43" t="n"/>
      <c r="D53" s="55" t="n"/>
    </row>
    <row r="54">
      <c r="C54" s="43" t="n"/>
      <c r="D54" s="55" t="n"/>
    </row>
    <row r="55">
      <c r="C55" s="43" t="n"/>
      <c r="D55" s="55" t="n"/>
    </row>
    <row r="56">
      <c r="C56" s="43" t="n"/>
      <c r="D56" s="55" t="n"/>
    </row>
    <row r="57">
      <c r="C57" s="43" t="n"/>
      <c r="D57" s="55" t="n"/>
    </row>
    <row r="58">
      <c r="C58" s="43" t="n"/>
      <c r="D58" s="55" t="n"/>
    </row>
    <row r="59">
      <c r="C59" s="43" t="n"/>
      <c r="D59" s="55" t="n"/>
    </row>
    <row r="60">
      <c r="C60" s="43" t="n"/>
      <c r="D60" s="55" t="n"/>
    </row>
    <row r="61">
      <c r="C61" s="43" t="n"/>
      <c r="D61" s="55" t="n"/>
    </row>
    <row r="62">
      <c r="C62" s="43" t="n"/>
      <c r="D62" s="55" t="n"/>
    </row>
    <row r="63">
      <c r="C63" s="43" t="n"/>
      <c r="D63" s="55" t="n"/>
    </row>
    <row r="64">
      <c r="C64" s="43" t="n"/>
      <c r="D64" s="55" t="n"/>
    </row>
    <row r="65">
      <c r="C65" s="43" t="n"/>
      <c r="D65" s="55" t="n"/>
    </row>
    <row r="66">
      <c r="C66" s="43" t="n"/>
      <c r="D66" s="55" t="n"/>
    </row>
    <row r="67">
      <c r="C67" s="43" t="n"/>
      <c r="D67" s="55" t="n"/>
    </row>
    <row r="68">
      <c r="C68" s="43" t="n"/>
      <c r="D68" s="55" t="n"/>
    </row>
    <row r="69">
      <c r="C69" s="43" t="n"/>
      <c r="D69" s="55" t="n"/>
    </row>
    <row r="70">
      <c r="C70" s="43" t="n"/>
      <c r="D70" s="55" t="n"/>
    </row>
    <row r="71">
      <c r="C71" s="43" t="n"/>
      <c r="D71" s="55" t="n"/>
    </row>
    <row r="72">
      <c r="C72" s="43" t="n"/>
      <c r="D72" s="55" t="n"/>
    </row>
    <row r="73">
      <c r="C73" s="43" t="n"/>
      <c r="D73" s="55" t="n"/>
    </row>
    <row r="74">
      <c r="C74" s="43" t="n"/>
      <c r="D74" s="55" t="n"/>
    </row>
    <row r="75">
      <c r="C75" s="43" t="n"/>
      <c r="D75" s="55" t="n"/>
    </row>
    <row r="76">
      <c r="C76" s="43" t="n"/>
      <c r="D76" s="55" t="n"/>
    </row>
    <row r="77">
      <c r="C77" s="43" t="n"/>
      <c r="D77" s="55" t="n"/>
    </row>
    <row r="78">
      <c r="C78" s="43" t="n"/>
      <c r="D78" s="55" t="n"/>
    </row>
    <row r="79">
      <c r="C79" s="43" t="n"/>
      <c r="D79" s="55" t="n"/>
    </row>
    <row r="80">
      <c r="C80" s="43" t="n"/>
      <c r="D80" s="55" t="n"/>
    </row>
    <row r="81">
      <c r="C81" s="43" t="n"/>
      <c r="D81" s="55" t="n"/>
    </row>
    <row r="82">
      <c r="C82" s="43" t="n"/>
      <c r="D82" s="55" t="n"/>
    </row>
    <row r="83">
      <c r="C83" s="43" t="n"/>
      <c r="D83" s="55" t="n"/>
    </row>
    <row r="84">
      <c r="C84" s="43" t="n"/>
      <c r="D84" s="55" t="n"/>
    </row>
    <row r="85">
      <c r="C85" s="43" t="n"/>
      <c r="D85" s="55" t="n"/>
    </row>
    <row r="86">
      <c r="C86" s="43" t="n"/>
      <c r="D86" s="55" t="n"/>
    </row>
    <row r="87">
      <c r="C87" s="43" t="n"/>
      <c r="D87" s="55" t="n"/>
    </row>
    <row r="88">
      <c r="C88" s="43" t="n"/>
      <c r="D88" s="55" t="n"/>
    </row>
    <row r="89">
      <c r="C89" s="43" t="n"/>
      <c r="D89" s="55" t="n"/>
    </row>
    <row r="90">
      <c r="C90" s="43" t="n"/>
      <c r="D90" s="55" t="n"/>
    </row>
    <row r="91">
      <c r="C91" s="43" t="n"/>
      <c r="D91" s="55" t="n"/>
    </row>
    <row r="92">
      <c r="C92" s="43" t="n"/>
      <c r="D92" s="55" t="n"/>
    </row>
    <row r="93">
      <c r="C93" s="43" t="n"/>
      <c r="D93" s="55" t="n"/>
    </row>
    <row r="94">
      <c r="C94" s="43" t="n"/>
      <c r="D94" s="55" t="n"/>
    </row>
    <row r="95">
      <c r="C95" s="43" t="n"/>
      <c r="D95" s="55" t="n"/>
    </row>
    <row r="96">
      <c r="C96" s="43" t="n"/>
      <c r="D96" s="55" t="n"/>
    </row>
    <row r="97">
      <c r="C97" s="43" t="n"/>
      <c r="D97" s="55" t="n"/>
    </row>
    <row r="98">
      <c r="C98" s="43" t="n"/>
      <c r="D98" s="55" t="n"/>
    </row>
    <row r="99">
      <c r="C99" s="43" t="n"/>
      <c r="D99" s="55" t="n"/>
    </row>
    <row r="100">
      <c r="C100" s="43" t="n"/>
      <c r="D100" s="55" t="n"/>
    </row>
    <row r="101">
      <c r="C101" s="43" t="n"/>
      <c r="D101" s="55" t="n"/>
    </row>
    <row r="102">
      <c r="C102" s="43" t="n"/>
      <c r="D102" s="55" t="n"/>
    </row>
    <row r="103">
      <c r="C103" s="43" t="n"/>
      <c r="D103" s="55" t="n"/>
    </row>
    <row r="104">
      <c r="C104" s="43" t="n"/>
      <c r="D104" s="55" t="n"/>
    </row>
    <row r="105">
      <c r="C105" s="43" t="n"/>
      <c r="D105" s="55" t="n"/>
    </row>
    <row r="106">
      <c r="C106" s="43" t="n"/>
      <c r="D106" s="55" t="n"/>
    </row>
    <row r="107">
      <c r="C107" s="43" t="n"/>
      <c r="D107" s="55" t="n"/>
    </row>
    <row r="108">
      <c r="C108" s="43" t="n"/>
      <c r="D108" s="55" t="n"/>
    </row>
    <row r="109">
      <c r="C109" s="43" t="n"/>
      <c r="D109" s="55" t="n"/>
    </row>
    <row r="110">
      <c r="C110" s="43" t="n"/>
      <c r="D110" s="55" t="n"/>
    </row>
    <row r="111">
      <c r="C111" s="43" t="n"/>
      <c r="D111" s="55" t="n"/>
    </row>
    <row r="112">
      <c r="C112" s="43" t="n"/>
      <c r="D112" s="55" t="n"/>
    </row>
    <row r="113">
      <c r="C113" s="43" t="n"/>
      <c r="D113" s="55" t="n"/>
    </row>
    <row r="114">
      <c r="C114" s="43" t="n"/>
      <c r="D114" s="55" t="n"/>
    </row>
    <row r="115">
      <c r="C115" s="43" t="n"/>
      <c r="D115" s="55" t="n"/>
    </row>
    <row r="116">
      <c r="C116" s="43" t="n"/>
      <c r="D116" s="55" t="n"/>
    </row>
    <row r="117">
      <c r="C117" s="43" t="n"/>
      <c r="D117" s="55" t="n"/>
    </row>
    <row r="118">
      <c r="C118" s="43" t="n"/>
      <c r="D118" s="55" t="n"/>
    </row>
    <row r="119">
      <c r="C119" s="43" t="n"/>
      <c r="D119" s="55" t="n"/>
    </row>
    <row r="120">
      <c r="C120" s="43" t="n"/>
      <c r="D120" s="55" t="n"/>
    </row>
    <row r="121">
      <c r="C121" s="43" t="n"/>
      <c r="D121" s="55" t="n"/>
    </row>
    <row r="122">
      <c r="C122" s="43" t="n"/>
      <c r="D122" s="55" t="n"/>
    </row>
    <row r="123">
      <c r="C123" s="43" t="n"/>
      <c r="D123" s="55" t="n"/>
    </row>
    <row r="124">
      <c r="C124" s="43" t="n"/>
      <c r="D124" s="55" t="n"/>
    </row>
    <row r="125">
      <c r="C125" s="43" t="n"/>
      <c r="D125" s="55" t="n"/>
    </row>
    <row r="126">
      <c r="C126" s="43" t="n"/>
      <c r="D126" s="55" t="n"/>
    </row>
    <row r="127">
      <c r="C127" s="43" t="n"/>
      <c r="D127" s="55" t="n"/>
    </row>
    <row r="128">
      <c r="C128" s="43" t="n"/>
      <c r="D128" s="55" t="n"/>
    </row>
    <row r="129">
      <c r="C129" s="43" t="n"/>
      <c r="D129" s="55" t="n"/>
    </row>
    <row r="130">
      <c r="C130" s="43" t="n"/>
      <c r="D130" s="55" t="n"/>
    </row>
    <row r="131">
      <c r="C131" s="43" t="n"/>
      <c r="D131" s="55" t="n"/>
    </row>
    <row r="132">
      <c r="C132" s="43" t="n"/>
      <c r="D132" s="55" t="n"/>
    </row>
    <row r="133">
      <c r="C133" s="43" t="n"/>
      <c r="D133" s="55" t="n"/>
    </row>
    <row r="134">
      <c r="C134" s="43" t="n"/>
      <c r="D134" s="55" t="n"/>
    </row>
    <row r="135">
      <c r="C135" s="43" t="n"/>
      <c r="D135" s="55" t="n"/>
    </row>
    <row r="136">
      <c r="C136" s="43" t="n"/>
      <c r="D136" s="55" t="n"/>
    </row>
    <row r="137">
      <c r="C137" s="43" t="n"/>
      <c r="D137" s="55" t="n"/>
    </row>
    <row r="138">
      <c r="C138" s="43" t="n"/>
      <c r="D138" s="55" t="n"/>
    </row>
    <row r="139">
      <c r="C139" s="43" t="n"/>
      <c r="D139" s="55" t="n"/>
    </row>
    <row r="140">
      <c r="C140" s="43" t="n"/>
      <c r="D140" s="55" t="n"/>
    </row>
    <row r="141">
      <c r="C141" s="43" t="n"/>
      <c r="D141" s="55" t="n"/>
    </row>
    <row r="142">
      <c r="C142" s="43" t="n"/>
      <c r="D142" s="55" t="n"/>
    </row>
    <row r="143">
      <c r="C143" s="43" t="n"/>
      <c r="D143" s="55" t="n"/>
    </row>
    <row r="144">
      <c r="C144" s="43" t="n"/>
      <c r="D144" s="55" t="n"/>
    </row>
    <row r="145">
      <c r="C145" s="43" t="n"/>
      <c r="D145" s="55" t="n"/>
    </row>
    <row r="146">
      <c r="C146" s="43" t="n"/>
      <c r="D146" s="55" t="n"/>
    </row>
    <row r="147">
      <c r="C147" s="43" t="n"/>
      <c r="D147" s="55" t="n"/>
    </row>
    <row r="148">
      <c r="C148" s="43" t="n"/>
      <c r="D148" s="55" t="n"/>
    </row>
    <row r="149">
      <c r="C149" s="43" t="n"/>
      <c r="D149" s="55" t="n"/>
    </row>
    <row r="150">
      <c r="C150" s="43" t="n"/>
      <c r="D150" s="55" t="n"/>
    </row>
    <row r="151">
      <c r="C151" s="43" t="n"/>
      <c r="D151" s="55" t="n"/>
    </row>
    <row r="152">
      <c r="C152" s="43" t="n"/>
      <c r="D152" s="55" t="n"/>
    </row>
    <row r="153">
      <c r="C153" s="43" t="n"/>
      <c r="D153" s="55" t="n"/>
    </row>
    <row r="154">
      <c r="C154" s="43" t="n"/>
      <c r="D154" s="55" t="n"/>
    </row>
    <row r="155">
      <c r="C155" s="43" t="n"/>
      <c r="D155" s="55" t="n"/>
    </row>
    <row r="156">
      <c r="C156" s="43" t="n"/>
      <c r="D156" s="55" t="n"/>
    </row>
    <row r="157">
      <c r="C157" s="43" t="n"/>
      <c r="D157" s="55" t="n"/>
    </row>
    <row r="158">
      <c r="C158" s="43" t="n"/>
      <c r="D158" s="55" t="n"/>
    </row>
    <row r="159">
      <c r="C159" s="43" t="n"/>
      <c r="D159" s="55" t="n"/>
    </row>
    <row r="160">
      <c r="C160" s="43" t="n"/>
      <c r="D160" s="55" t="n"/>
    </row>
    <row r="161">
      <c r="C161" s="43" t="n"/>
      <c r="D161" s="55" t="n"/>
    </row>
    <row r="162">
      <c r="C162" s="43" t="n"/>
      <c r="D162" s="55" t="n"/>
    </row>
    <row r="163">
      <c r="C163" s="43" t="n"/>
      <c r="D163" s="55" t="n"/>
    </row>
    <row r="164">
      <c r="C164" s="43" t="n"/>
      <c r="D164" s="55" t="n"/>
    </row>
    <row r="165">
      <c r="C165" s="43" t="n"/>
      <c r="D165" s="55" t="n"/>
    </row>
    <row r="166">
      <c r="C166" s="43" t="n"/>
      <c r="D166" s="55" t="n"/>
    </row>
    <row r="167">
      <c r="C167" s="43" t="n"/>
      <c r="D167" s="55" t="n"/>
    </row>
    <row r="168">
      <c r="C168" s="43" t="n"/>
      <c r="D168" s="55" t="n"/>
    </row>
    <row r="169">
      <c r="C169" s="43" t="n"/>
      <c r="D169" s="55" t="n"/>
    </row>
    <row r="170">
      <c r="C170" s="43" t="n"/>
      <c r="D170" s="55" t="n"/>
    </row>
    <row r="171">
      <c r="C171" s="43" t="n"/>
      <c r="D171" s="55" t="n"/>
    </row>
    <row r="172">
      <c r="C172" s="43" t="n"/>
      <c r="D172" s="55" t="n"/>
    </row>
    <row r="173">
      <c r="C173" s="43" t="n"/>
      <c r="D173" s="55" t="n"/>
    </row>
    <row r="174">
      <c r="C174" s="43" t="n"/>
      <c r="D174" s="55" t="n"/>
    </row>
    <row r="175">
      <c r="C175" s="43" t="n"/>
      <c r="D175" s="55" t="n"/>
    </row>
    <row r="176">
      <c r="C176" s="43" t="n"/>
      <c r="D176" s="55" t="n"/>
    </row>
    <row r="177">
      <c r="C177" s="43" t="n"/>
      <c r="D177" s="55" t="n"/>
    </row>
    <row r="178">
      <c r="C178" s="43" t="n"/>
      <c r="D178" s="55" t="n"/>
    </row>
    <row r="179">
      <c r="C179" s="43" t="n"/>
      <c r="D179" s="55" t="n"/>
    </row>
    <row r="180">
      <c r="C180" s="43" t="n"/>
      <c r="D180" s="55" t="n"/>
    </row>
    <row r="181">
      <c r="C181" s="43" t="n"/>
      <c r="D181" s="55" t="n"/>
    </row>
    <row r="182">
      <c r="C182" s="43" t="n"/>
      <c r="D182" s="55" t="n"/>
    </row>
    <row r="183">
      <c r="C183" s="43" t="n"/>
      <c r="D183" s="55" t="n"/>
    </row>
    <row r="184">
      <c r="C184" s="43" t="n"/>
      <c r="D184" s="55" t="n"/>
    </row>
    <row r="185">
      <c r="C185" s="43" t="n"/>
      <c r="D185" s="55" t="n"/>
    </row>
    <row r="186">
      <c r="C186" s="43" t="n"/>
      <c r="D186" s="55" t="n"/>
    </row>
    <row r="187">
      <c r="C187" s="43" t="n"/>
      <c r="D187" s="55" t="n"/>
    </row>
    <row r="188">
      <c r="C188" s="43" t="n"/>
      <c r="D188" s="55" t="n"/>
    </row>
    <row r="189">
      <c r="C189" s="43" t="n"/>
      <c r="D189" s="55" t="n"/>
    </row>
    <row r="190">
      <c r="C190" s="43" t="n"/>
      <c r="D190" s="55" t="n"/>
    </row>
    <row r="191">
      <c r="C191" s="43" t="n"/>
      <c r="D191" s="55" t="n"/>
    </row>
    <row r="192">
      <c r="C192" s="43" t="n"/>
      <c r="D192" s="55" t="n"/>
    </row>
    <row r="193">
      <c r="C193" s="43" t="n"/>
      <c r="D193" s="55" t="n"/>
    </row>
    <row r="194">
      <c r="C194" s="43" t="n"/>
      <c r="D194" s="55" t="n"/>
    </row>
    <row r="195">
      <c r="C195" s="43" t="n"/>
      <c r="D195" s="55" t="n"/>
    </row>
    <row r="196">
      <c r="C196" s="43" t="n"/>
      <c r="D196" s="55" t="n"/>
    </row>
    <row r="197">
      <c r="C197" s="43" t="n"/>
      <c r="D197" s="55" t="n"/>
    </row>
    <row r="198">
      <c r="C198" s="43" t="n"/>
      <c r="D198" s="55" t="n"/>
    </row>
    <row r="199">
      <c r="C199" s="43" t="n"/>
      <c r="D199" s="55" t="n"/>
    </row>
    <row r="200">
      <c r="C200" s="43" t="n"/>
      <c r="D200" s="55" t="n"/>
    </row>
  </sheetData>
  <autoFilter ref="A1:E1"/>
  <conditionalFormatting sqref="A2:E200">
    <cfRule type="expression" priority="1" dxfId="0">
      <formula>$E2="Pendente"</formula>
    </cfRule>
    <cfRule type="expression" priority="2" dxfId="1">
      <formula>$E2="Pago"</formula>
    </cfRule>
  </conditionalFormatting>
  <dataValidations count="2">
    <dataValidation sqref="A2:A500" showDropDown="0" showInputMessage="0" showErrorMessage="0" allowBlank="1" type="list">
      <formula1>"Cartão Will,Cartão Sá"</formula1>
    </dataValidation>
    <dataValidation sqref="E2:E500" showDropDown="0" showInputMessage="0" showErrorMessage="0" allowBlank="1" type="list">
      <formula1>"Pendente,Pago"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3" max="3"/>
    <col width="12" customWidth="1" min="5" max="5"/>
    <col width="8" customWidth="1" min="7" max="7"/>
    <col width="6" customWidth="1" min="9" max="9"/>
    <col width="14" customWidth="1" min="10" max="10"/>
  </cols>
  <sheetData>
    <row r="1">
      <c r="A1" s="45" t="inlineStr">
        <is>
          <t>Categorias</t>
        </is>
      </c>
      <c r="C1" s="45" t="inlineStr">
        <is>
          <t>Responsáveis</t>
        </is>
      </c>
      <c r="E1" s="45" t="inlineStr">
        <is>
          <t>Status</t>
        </is>
      </c>
      <c r="G1" s="45" t="inlineStr">
        <is>
          <t>Ciclo</t>
        </is>
      </c>
      <c r="I1" s="45" t="inlineStr">
        <is>
          <t>Nº</t>
        </is>
      </c>
      <c r="J1" s="45" t="inlineStr">
        <is>
          <t>Mês</t>
        </is>
      </c>
    </row>
    <row r="2">
      <c r="A2" t="inlineStr">
        <is>
          <t>Salário</t>
        </is>
      </c>
      <c r="C2" t="inlineStr">
        <is>
          <t>Will</t>
        </is>
      </c>
      <c r="E2" t="inlineStr">
        <is>
          <t>Pendente</t>
        </is>
      </c>
      <c r="G2" t="n">
        <v>1</v>
      </c>
      <c r="I2" t="n">
        <v>1</v>
      </c>
      <c r="J2" t="inlineStr">
        <is>
          <t>Janeiro</t>
        </is>
      </c>
    </row>
    <row r="3">
      <c r="A3" t="inlineStr">
        <is>
          <t>13° Salário</t>
        </is>
      </c>
      <c r="C3" t="inlineStr">
        <is>
          <t>Sá</t>
        </is>
      </c>
      <c r="E3" t="inlineStr">
        <is>
          <t>Pago</t>
        </is>
      </c>
      <c r="G3" t="n">
        <v>2</v>
      </c>
      <c r="I3" t="n">
        <v>2</v>
      </c>
      <c r="J3" t="inlineStr">
        <is>
          <t>Fevereiro</t>
        </is>
      </c>
    </row>
    <row r="4">
      <c r="A4" t="inlineStr">
        <is>
          <t>PLR</t>
        </is>
      </c>
      <c r="C4" t="inlineStr">
        <is>
          <t>Ambos</t>
        </is>
      </c>
      <c r="E4" t="inlineStr">
        <is>
          <t>A Pagar</t>
        </is>
      </c>
      <c r="I4" t="n">
        <v>3</v>
      </c>
      <c r="J4" t="inlineStr">
        <is>
          <t>Março</t>
        </is>
      </c>
    </row>
    <row r="5">
      <c r="A5" t="inlineStr">
        <is>
          <t>Férias</t>
        </is>
      </c>
      <c r="E5" t="inlineStr">
        <is>
          <t>Recebido</t>
        </is>
      </c>
      <c r="I5" t="n">
        <v>4</v>
      </c>
      <c r="J5" t="inlineStr">
        <is>
          <t>Abril</t>
        </is>
      </c>
    </row>
    <row r="6">
      <c r="A6" t="inlineStr">
        <is>
          <t>Renda Extra</t>
        </is>
      </c>
      <c r="I6" t="n">
        <v>5</v>
      </c>
      <c r="J6" t="inlineStr">
        <is>
          <t>Maio</t>
        </is>
      </c>
    </row>
    <row r="7">
      <c r="A7" t="inlineStr">
        <is>
          <t>Luz</t>
        </is>
      </c>
      <c r="I7" t="n">
        <v>6</v>
      </c>
      <c r="J7" t="inlineStr">
        <is>
          <t>Junho</t>
        </is>
      </c>
    </row>
    <row r="8">
      <c r="A8" t="inlineStr">
        <is>
          <t>Internet</t>
        </is>
      </c>
      <c r="I8" t="n">
        <v>7</v>
      </c>
      <c r="J8" t="inlineStr">
        <is>
          <t>Julho</t>
        </is>
      </c>
    </row>
    <row r="9">
      <c r="A9" t="inlineStr">
        <is>
          <t>Estacionamento</t>
        </is>
      </c>
      <c r="I9" t="n">
        <v>8</v>
      </c>
      <c r="J9" t="inlineStr">
        <is>
          <t>Agosto</t>
        </is>
      </c>
    </row>
    <row r="10">
      <c r="A10" t="inlineStr">
        <is>
          <t>Cartão Will</t>
        </is>
      </c>
      <c r="I10" t="n">
        <v>9</v>
      </c>
      <c r="J10" t="inlineStr">
        <is>
          <t>Setembro</t>
        </is>
      </c>
    </row>
    <row r="11">
      <c r="A11" t="inlineStr">
        <is>
          <t>Cartão Sá</t>
        </is>
      </c>
      <c r="I11" t="n">
        <v>10</v>
      </c>
      <c r="J11" t="inlineStr">
        <is>
          <t>Outubro</t>
        </is>
      </c>
    </row>
    <row r="12">
      <c r="A12" t="inlineStr">
        <is>
          <t>Celular</t>
        </is>
      </c>
      <c r="I12" t="n">
        <v>11</v>
      </c>
      <c r="J12" t="inlineStr">
        <is>
          <t>Novembro</t>
        </is>
      </c>
    </row>
    <row r="13">
      <c r="A13" t="inlineStr">
        <is>
          <t>Areia</t>
        </is>
      </c>
      <c r="I13" t="n">
        <v>12</v>
      </c>
      <c r="J13" t="inlineStr">
        <is>
          <t>Dezembro</t>
        </is>
      </c>
    </row>
    <row r="14">
      <c r="A14" t="inlineStr">
        <is>
          <t>Unha mão</t>
        </is>
      </c>
    </row>
    <row r="15">
      <c r="A15" t="inlineStr">
        <is>
          <t>Mercado</t>
        </is>
      </c>
    </row>
    <row r="16">
      <c r="A16" t="inlineStr">
        <is>
          <t>Aluguel</t>
        </is>
      </c>
    </row>
    <row r="17">
      <c r="A17" t="inlineStr">
        <is>
          <t>Farmácia</t>
        </is>
      </c>
    </row>
    <row r="18">
      <c r="A18" t="inlineStr">
        <is>
          <t>Transporte</t>
        </is>
      </c>
    </row>
    <row r="19">
      <c r="A19" t="inlineStr">
        <is>
          <t>Lazer</t>
        </is>
      </c>
    </row>
    <row r="20">
      <c r="A20" t="inlineStr">
        <is>
          <t>Alimentação</t>
        </is>
      </c>
    </row>
    <row r="21">
      <c r="A21" t="inlineStr">
        <is>
          <t>Outros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2026-07-03T14:52:10Z</dcterms:created>
  <dcterms:modified xsi:type="dcterms:W3CDTF">2026-07-03T14:59:22Z</dcterms:modified>
</cp:coreProperties>
</file>