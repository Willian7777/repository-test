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sumo Anual" sheetId="2" state="visible" r:id="rId2"/>
    <sheet name="Lancamentos" sheetId="3" state="visible" r:id="rId3"/>
    <sheet name="Cartoes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2A4A"/>
      <sz val="9"/>
    </font>
    <font>
      <name val="Segoe UI"/>
      <b val="1"/>
      <color rgb="002980B9"/>
      <sz val="16"/>
    </font>
    <font>
      <name val="Segoe UI"/>
      <b val="1"/>
      <color rgb="00FFFFFF"/>
      <sz val="13"/>
    </font>
    <font>
      <name val="Segoe UI"/>
      <b val="1"/>
      <color rgb="001B2A4A"/>
      <sz val="11"/>
    </font>
    <font>
      <name val="Segoe UI"/>
      <b val="1"/>
      <color rgb="00FFFFFF"/>
      <sz val="12"/>
    </font>
    <font>
      <name val="Segoe UI"/>
      <b val="1"/>
      <color rgb="001B2A4A"/>
      <sz val="10"/>
    </font>
    <font>
      <name val="Segoe UI"/>
      <b val="1"/>
      <color rgb="0027AE60"/>
      <sz val="15"/>
    </font>
    <font>
      <name val="Segoe UI"/>
      <b val="1"/>
      <color rgb="00E74C3C"/>
      <sz val="15"/>
    </font>
    <font>
      <name val="Segoe UI"/>
      <i val="1"/>
      <color rgb="001B2A4A"/>
      <sz val="9"/>
    </font>
    <font>
      <name val="Segoe UI"/>
      <color rgb="001B2A4A"/>
      <sz val="10"/>
    </font>
    <font>
      <name val="Segoe UI"/>
      <b val="1"/>
      <color rgb="00FFFFFF"/>
      <sz val="11"/>
    </font>
    <font>
      <name val="Segoe UI"/>
      <b val="1"/>
      <color rgb="00F39C12"/>
      <sz val="20"/>
    </font>
    <font>
      <name val="Segoe UI"/>
      <b val="1"/>
      <color rgb="00FFFFFF"/>
      <sz val="10"/>
    </font>
    <font>
      <name val="Segoe UI"/>
      <i val="1"/>
      <color rgb="002980B9"/>
      <sz val="9"/>
    </font>
    <font>
      <name val="Segoe UI"/>
      <b val="1"/>
      <color rgb="002980B9"/>
      <sz val="11"/>
    </font>
    <font>
      <name val="Segoe UI"/>
      <i val="1"/>
      <color rgb="00E67E22"/>
      <sz val="9"/>
    </font>
    <font>
      <name val="Segoe UI"/>
      <b val="1"/>
      <color rgb="00E67E22"/>
      <sz val="11"/>
    </font>
    <font>
      <name val="Segoe UI"/>
      <color rgb="001B2A4A"/>
      <sz val="9"/>
    </font>
    <font>
      <name val="Segoe UI"/>
      <b val="1"/>
      <color rgb="00E74C3C"/>
      <sz val="10"/>
    </font>
    <font>
      <name val="Segoe UI"/>
      <b val="1"/>
      <color rgb="00FFFFFF"/>
      <sz val="15"/>
    </font>
    <font>
      <name val="Segoe UI"/>
      <b val="1"/>
      <color rgb="006A1B9A"/>
      <sz val="14"/>
    </font>
    <font>
      <name val="Segoe UI"/>
      <color rgb="0027AE60"/>
      <sz val="10"/>
    </font>
    <font>
      <name val="Segoe UI"/>
      <color rgb="00E74C3C"/>
      <sz val="10"/>
    </font>
    <font>
      <name val="Segoe UI"/>
      <b val="1"/>
      <color rgb="00F39C12"/>
      <sz val="12"/>
    </font>
    <font>
      <name val="Segoe UI"/>
      <color rgb="001B2A4A"/>
      <sz val="8"/>
    </font>
    <font>
      <name val="Segoe UI"/>
      <b val="1"/>
      <color rgb="006A1B9A"/>
      <sz val="11"/>
    </font>
  </fonts>
  <fills count="15">
    <fill>
      <patternFill/>
    </fill>
    <fill>
      <patternFill patternType="gray125"/>
    </fill>
    <fill>
      <patternFill patternType="solid">
        <fgColor rgb="00FAFBFC"/>
      </patternFill>
    </fill>
    <fill>
      <patternFill patternType="solid">
        <fgColor rgb="001B2A4A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E0E0E0"/>
      </patternFill>
    </fill>
    <fill>
      <patternFill patternType="solid">
        <fgColor rgb="002C3E50"/>
      </patternFill>
    </fill>
    <fill>
      <patternFill patternType="solid">
        <fgColor rgb="00F5F7FA"/>
      </patternFill>
    </fill>
    <fill>
      <patternFill patternType="solid">
        <fgColor rgb="006A1B9A"/>
      </patternFill>
    </fill>
    <fill>
      <patternFill patternType="solid">
        <fgColor rgb="00F4ECF7"/>
      </patternFill>
    </fill>
    <fill>
      <patternFill patternType="solid">
        <fgColor rgb="00E67E22"/>
      </patternFill>
    </fill>
    <fill>
      <patternFill patternType="solid">
        <fgColor rgb="00607D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4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/>
    </xf>
    <xf numFmtId="4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2" fillId="3" borderId="0" applyAlignment="1" pivotButton="0" quotePrefix="0" xfId="0">
      <alignment horizontal="left" vertical="center"/>
    </xf>
    <xf numFmtId="4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4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4" fontId="18" fillId="2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4" fontId="20" fillId="5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/>
    </xf>
    <xf numFmtId="4" fontId="20" fillId="10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0" fontId="22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4" fontId="23" fillId="5" borderId="0" applyAlignment="1" pivotButton="0" quotePrefix="0" xfId="0">
      <alignment horizontal="center" vertical="center"/>
    </xf>
    <xf numFmtId="4" fontId="24" fillId="5" borderId="0" applyAlignment="1" pivotButton="0" quotePrefix="0" xfId="0">
      <alignment horizontal="center" vertical="center"/>
    </xf>
    <xf numFmtId="4" fontId="7" fillId="5" borderId="0" applyAlignment="1" pivotButton="0" quotePrefix="0" xfId="0">
      <alignment horizontal="center" vertical="center"/>
    </xf>
    <xf numFmtId="9" fontId="11" fillId="5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4" fontId="23" fillId="10" borderId="0" applyAlignment="1" pivotButton="0" quotePrefix="0" xfId="0">
      <alignment horizontal="center" vertical="center"/>
    </xf>
    <xf numFmtId="4" fontId="24" fillId="10" borderId="0" applyAlignment="1" pivotButton="0" quotePrefix="0" xfId="0">
      <alignment horizontal="center" vertical="center"/>
    </xf>
    <xf numFmtId="4" fontId="7" fillId="10" borderId="0" applyAlignment="1" pivotButton="0" quotePrefix="0" xfId="0">
      <alignment horizontal="center" vertical="center"/>
    </xf>
    <xf numFmtId="9" fontId="11" fillId="10" borderId="0" applyAlignment="1" pivotButton="0" quotePrefix="0" xfId="0">
      <alignment horizontal="center" vertical="center"/>
    </xf>
    <xf numFmtId="4" fontId="25" fillId="3" borderId="0" applyAlignment="1" pivotButton="0" quotePrefix="0" xfId="0">
      <alignment horizontal="center" vertical="center"/>
    </xf>
    <xf numFmtId="9" fontId="2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8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4" fontId="27" fillId="1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5" fontId="11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13" borderId="0" applyAlignment="1" pivotButton="0" quotePrefix="0" xfId="0">
      <alignment horizontal="center" vertical="center"/>
    </xf>
    <xf numFmtId="4" fontId="11" fillId="2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Segoe UI"/>
        <color rgb="0027AE60"/>
        <sz val="10"/>
      </font>
      <fill>
        <patternFill patternType="solid">
          <fgColor rgb="00D5F5E3"/>
          <bgColor rgb="00D5F5E3"/>
        </patternFill>
      </fill>
    </dxf>
    <dxf>
      <font>
        <name val="Segoe UI"/>
        <color rgb="00E74C3C"/>
        <sz val="10"/>
      </font>
      <fill>
        <patternFill patternType="solid">
          <fgColor rgb="00FDEDEC"/>
          <bgColor rgb="00FDEDEC"/>
        </patternFill>
      </fill>
    </dxf>
    <dxf>
      <font>
        <name val="Segoe UI"/>
        <color rgb="002980B9"/>
        <sz val="10"/>
      </font>
      <fill>
        <patternFill patternType="solid">
          <fgColor rgb="00D6EAF8"/>
          <b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R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" customWidth="1" min="3" max="3"/>
    <col width="15" customWidth="1" min="4" max="4"/>
    <col width="15" customWidth="1" min="5" max="5"/>
    <col width="2" customWidth="1" min="6" max="6"/>
    <col width="18" customWidth="1" min="7" max="7"/>
    <col width="2" customWidth="1" min="8" max="8"/>
    <col width="15" customWidth="1" min="9" max="9"/>
    <col width="2" customWidth="1" min="10" max="10"/>
    <col width="2" customWidth="1" min="11" max="11"/>
    <col hidden="1" width="13" customWidth="1" min="16" max="16"/>
    <col hidden="1" width="13" customWidth="1" min="17" max="17"/>
    <col hidden="1" width="13" customWidth="1" min="18" max="18"/>
  </cols>
  <sheetData>
    <row r="1" ht="44" customHeight="1">
      <c r="A1" s="1" t="inlineStr">
        <is>
          <t>💰  CONTROLE FINANCEIRO — WILL &amp; SÁ</t>
        </is>
      </c>
      <c r="P1" s="2">
        <f>SUMIFS(Lancamentos!$G:$G,Lancamentos!$B:$B,"&gt;="&amp;DATE($E$2,$B$2,1),Lancamentos!$B:$B,"&lt;="&amp;DATE($E$2,$B$2+1,0),Lancamentos!$A:$A,"Receita",Lancamentos!$F:$F,1)</f>
        <v/>
      </c>
      <c r="Q1" s="2">
        <f>SUMIFS(Lancamentos!$G:$G,Lancamentos!$B:$B,"&gt;="&amp;DATE($E$2,$B$2,1),Lancamentos!$B:$B,"&lt;="&amp;DATE($E$2,$B$2+1,0),Lancamentos!$A:$A,"Receita",Lancamentos!$F:$F,2)</f>
        <v/>
      </c>
      <c r="R1" s="2">
        <f>SUMIFS(Lancamentos!$G:$G,Lancamentos!$B:$B,"&gt;="&amp;DATE($E$2,$B$2,1),Lancamentos!$B:$B,"&lt;="&amp;DATE($E$2,$B$2+1,0),Lancamentos!$A:$A,"Despesa",Lancamentos!$F:$F,1)</f>
        <v/>
      </c>
    </row>
    <row r="2" ht="34" customHeight="1">
      <c r="A2" s="3" t="inlineStr">
        <is>
          <t>MÊS</t>
        </is>
      </c>
      <c r="B2" s="4" t="n">
        <v>7</v>
      </c>
      <c r="C2" s="5" t="n"/>
      <c r="D2" s="3" t="inlineStr">
        <is>
          <t>ANO</t>
        </is>
      </c>
      <c r="E2" s="4" t="n">
        <v>2026</v>
      </c>
      <c r="F2" s="3" t="inlineStr">
        <is>
          <t>MODO</t>
        </is>
      </c>
      <c r="G2" s="6" t="inlineStr">
        <is>
          <t>C1+C2</t>
        </is>
      </c>
      <c r="H2" s="7">
        <f>TEXT(DATE(E2,B2,1),"MMMM / YYYY")&amp;"  |  Modo: "&amp;G2</f>
        <v/>
      </c>
      <c r="P2" s="2">
        <f>SUMIFS(Lancamentos!$G:$G,Lancamentos!$B:$B,"&gt;="&amp;DATE($E$2,$B$2,1),Lancamentos!$B:$B,"&lt;="&amp;DATE($E$2,$B$2+1,0),Lancamentos!$A:$A,"Despesa",Lancamentos!$F:$F,2)</f>
        <v/>
      </c>
    </row>
    <row r="3" customHeight="1">
      <c r="A3" s="8" t="n"/>
      <c r="B3" s="8">
        <f>B2</f>
        <v/>
      </c>
      <c r="C3" s="8" t="n"/>
      <c r="D3" s="8">
        <f>E2</f>
        <v/>
      </c>
      <c r="E3" s="8" t="n"/>
      <c r="F3" s="8" t="n"/>
      <c r="G3" s="8" t="n"/>
      <c r="H3" s="8" t="n"/>
      <c r="I3" s="8" t="n"/>
      <c r="J3" s="8" t="n"/>
      <c r="K3" s="8" t="n"/>
    </row>
    <row r="4" ht="32" customHeight="1">
      <c r="A4" s="9">
        <f>IF(G2="C1","⏱  CICLO 1 — Lançamentos de 1 a 14",IF(G2="C2","📦  CICLO 2 — Lançamentos do dia 15 ao fim do mês","📆  MÊS COMPLETO — Ciclo 1 (dias 1-14) + Ciclo 2 (dias 15-fim)"))</f>
        <v/>
      </c>
    </row>
    <row r="5" ht="28" customHeight="1">
      <c r="A5" s="10" t="inlineStr">
        <is>
          <t>📥  Receitas</t>
        </is>
      </c>
      <c r="B5" s="11">
        <f>CHOOSE(MATCH($G$2,{"C1","C2","C1+C2"},0),SUMIFS(Lancamentos!$G:$G,Lancamentos!$B:$B,"&gt;="&amp;DATE($E$2,$B$2,1),Lancamentos!$B:$B,"&lt;="&amp;DATE($E$2,$B$2+1,0),Lancamentos!$A:$A,"Receita",Lancamentos!$F:$F,1),SUMIFS(Lancamentos!$G:$G,Lancamentos!$B:$B,"&gt;="&amp;DATE($E$2,$B$2,1),Lancamentos!$B:$B,"&lt;="&amp;DATE($E$2,$B$2+1,0),Lancamentos!$A:$A,"Receita",Lancamentos!$F:$F,2),SUMIFS(Lancamentos!$G:$G,Lancamentos!$B:$B,"&gt;="&amp;DATE($E$2,$B$2,1),Lancamentos!$B:$B,"&lt;="&amp;DATE($E$2,$B$2+1,0),Lancamentos!$A:$A,"Receita"))</f>
        <v/>
      </c>
      <c r="C5" s="12" t="n"/>
    </row>
    <row r="6" ht="28" customHeight="1">
      <c r="A6" s="13" t="inlineStr">
        <is>
          <t>📤  Despesas</t>
        </is>
      </c>
      <c r="B6" s="14">
        <f>CHOOSE(MATCH($G$2,{"C1","C2","C1+C2"},0),SUMIFS(Lancamentos!$G:$G,Lancamentos!$B:$B,"&gt;="&amp;DATE($E$2,$B$2,1),Lancamentos!$B:$B,"&lt;="&amp;DATE($E$2,$B$2+1,0),Lancamentos!$A:$A,"Despesa",Lancamentos!$F:$F,1),SUMIFS(Lancamentos!$G:$G,Lancamentos!$B:$B,"&gt;="&amp;DATE($E$2,$B$2,1),Lancamentos!$B:$B,"&lt;="&amp;DATE($E$2,$B$2+1,0),Lancamentos!$A:$A,"Despesa",Lancamentos!$F:$F,2),SUMIFS(Lancamentos!$G:$G,Lancamentos!$B:$B,"&gt;="&amp;DATE($E$2,$B$2,1),Lancamentos!$B:$B,"&lt;="&amp;DATE($E$2,$B$2+1,0),Lancamentos!$A:$A,"Despesa"))</f>
        <v/>
      </c>
      <c r="C6" s="15" t="n"/>
    </row>
    <row r="7" ht="28" customHeight="1">
      <c r="A7" s="16" t="inlineStr">
        <is>
          <t>📊  % Comprometido</t>
        </is>
      </c>
      <c r="B7" s="17">
        <f>IF(B5=0,"—",TEXT(B6/B5,"0%")&amp;" da receita")</f>
        <v/>
      </c>
      <c r="C7" s="8" t="n"/>
    </row>
    <row r="8" ht="10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38" customHeight="1">
      <c r="A9" s="19">
        <f>IF(B5-B6&gt;=0,"💰 SALDO  ▲","💰 SALDO  ▼")</f>
        <v/>
      </c>
      <c r="C9" s="20">
        <f>B5-B6</f>
        <v/>
      </c>
      <c r="G9" s="21">
        <f>IF(B5-B6&gt;=0,"✅ Sobrou "&amp;TEXT(ABS(B5-B6),"#,##0.00")&amp;" neste período","⚠️ Déficit de "&amp;TEXT(ABS(B5-B6),"#,##0.00"))</f>
        <v/>
      </c>
    </row>
    <row r="10" ht="22" customHeight="1">
      <c r="A10" s="22" t="inlineStr">
        <is>
          <t>🔵  A Receber</t>
        </is>
      </c>
      <c r="B10" s="23">
        <f>CHOOSE(MATCH($G$2,{"C1","C2","C1+C2"},0),SUMIFS(Lancamentos!$G:$G,Lancamentos!$B:$B,"&gt;="&amp;DATE($E$2,$B$2,1),Lancamentos!$B:$B,"&lt;="&amp;DATE($E$2,$B$2+1,0),Lancamentos!$A:$A,"Receita",Lancamentos!$F:$F,1,Lancamentos!$H:$H,"A Receber"),SUMIFS(Lancamentos!$G:$G,Lancamentos!$B:$B,"&gt;="&amp;DATE($E$2,$B$2,1),Lancamentos!$B:$B,"&lt;="&amp;DATE($E$2,$B$2+1,0),Lancamentos!$A:$A,"Receita",Lancamentos!$F:$F,2,Lancamentos!$H:$H,"A Receber"),SUMIFS(Lancamentos!$G:$G,Lancamentos!$B:$B,"&gt;="&amp;DATE($E$2,$B$2,1),Lancamentos!$B:$B,"&lt;="&amp;DATE($E$2,$B$2+1,0),Lancamentos!$A:$A,"Receita",Lancamentos!$H:$H,"A Receber"))</f>
        <v/>
      </c>
      <c r="C10" s="8" t="n"/>
    </row>
    <row r="11" ht="22" customHeight="1">
      <c r="A11" s="24" t="inlineStr">
        <is>
          <t>🔴  A Pagar</t>
        </is>
      </c>
      <c r="B11" s="25">
        <f>CHOOSE(MATCH($G$2,{"C1","C2","C1+C2"},0),SUMIFS(Lancamentos!$G:$G,Lancamentos!$B:$B,"&gt;="&amp;DATE($E$2,$B$2,1),Lancamentos!$B:$B,"&lt;="&amp;DATE($E$2,$B$2+1,0),Lancamentos!$A:$A,"Despesa",Lancamentos!$F:$F,1,Lancamentos!$H:$H,"A Pagar"),SUMIFS(Lancamentos!$G:$G,Lancamentos!$B:$B,"&gt;="&amp;DATE($E$2,$B$2,1),Lancamentos!$B:$B,"&lt;="&amp;DATE($E$2,$B$2+1,0),Lancamentos!$A:$A,"Despesa",Lancamentos!$F:$F,2,Lancamentos!$H:$H,"A Pagar"),SUMIFS(Lancamentos!$G:$G,Lancamentos!$B:$B,"&gt;="&amp;DATE($E$2,$B$2,1),Lancamentos!$B:$B,"&lt;="&amp;DATE($E$2,$B$2+1,0),Lancamentos!$A:$A,"Despesa",Lancamentos!$H:$H,"A Pagar"))</f>
        <v/>
      </c>
      <c r="C11" s="8" t="n"/>
    </row>
    <row r="12" ht="1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26" customHeight="1">
      <c r="A13" s="26" t="inlineStr">
        <is>
          <t>📊  GASTOS POR CATEGORIA</t>
        </is>
      </c>
    </row>
    <row r="14" ht="20" customHeight="1">
      <c r="A14" s="27" t="inlineStr">
        <is>
          <t>Categoria</t>
        </is>
      </c>
      <c r="B14" s="27" t="inlineStr">
        <is>
          <t>Valor (R$)</t>
        </is>
      </c>
      <c r="C14" s="18" t="n"/>
      <c r="D14" s="18" t="n"/>
      <c r="E14" s="27" t="inlineStr">
        <is>
          <t>Categoria</t>
        </is>
      </c>
      <c r="F14" s="27" t="inlineStr">
        <is>
          <t>Valor (R$)</t>
        </is>
      </c>
      <c r="G14" s="18" t="n"/>
      <c r="H14" s="27" t="inlineStr">
        <is>
          <t>Categoria</t>
        </is>
      </c>
      <c r="I14" s="27" t="inlineStr">
        <is>
          <t>Valor (R$)</t>
        </is>
      </c>
      <c r="J14" s="18" t="n"/>
      <c r="K14" s="18" t="n"/>
    </row>
    <row r="15" ht="22" customHeight="1">
      <c r="A15" s="28" t="inlineStr">
        <is>
          <t>Aluguel</t>
        </is>
      </c>
      <c r="B15" s="29">
        <f>CHOOSE(MATCH($G$2,{"C1","C2","C1+C2"},0),SUMIFS(Lancamentos!$G:$G,Lancamentos!$B:$B,"&gt;="&amp;DATE($E$2,$B$2,1),Lancamentos!$B:$B,"&lt;="&amp;DATE($E$2,$B$2+1,0),Lancamentos!$A:$A,"Despesa",Lancamentos!$F:$F,1,Lancamentos!$D:$D,A15),SUMIFS(Lancamentos!$G:$G,Lancamentos!$B:$B,"&gt;="&amp;DATE($E$2,$B$2,1),Lancamentos!$B:$B,"&lt;="&amp;DATE($E$2,$B$2+1,0),Lancamentos!$A:$A,"Despesa",Lancamentos!$F:$F,2,Lancamentos!$D:$D,A15),SUMIFS(Lancamentos!$G:$G,Lancamentos!$B:$B,"&gt;="&amp;DATE($E$2,$B$2,1),Lancamentos!$B:$B,"&lt;="&amp;DATE($E$2,$B$2+1,0),Lancamentos!$A:$A,"Despesa",Lancamentos!$D:$D,A15))</f>
        <v/>
      </c>
      <c r="C15" s="8" t="n"/>
      <c r="D15" s="8" t="n"/>
      <c r="E15" s="28" t="inlineStr">
        <is>
          <t>Lazer</t>
        </is>
      </c>
      <c r="F15" s="29">
        <f>CHOOSE(MATCH($G$2,{"C1","C2","C1+C2"},0),SUMIFS(Lancamentos!$G:$G,Lancamentos!$B:$B,"&gt;="&amp;DATE($E$2,$B$2,1),Lancamentos!$B:$B,"&lt;="&amp;DATE($E$2,$B$2+1,0),Lancamentos!$A:$A,"Despesa",Lancamentos!$F:$F,1,Lancamentos!$D:$D,E15),SUMIFS(Lancamentos!$G:$G,Lancamentos!$B:$B,"&gt;="&amp;DATE($E$2,$B$2,1),Lancamentos!$B:$B,"&lt;="&amp;DATE($E$2,$B$2+1,0),Lancamentos!$A:$A,"Despesa",Lancamentos!$F:$F,2,Lancamentos!$D:$D,E15),SUMIFS(Lancamentos!$G:$G,Lancamentos!$B:$B,"&gt;="&amp;DATE($E$2,$B$2,1),Lancamentos!$B:$B,"&lt;="&amp;DATE($E$2,$B$2+1,0),Lancamentos!$A:$A,"Despesa",Lancamentos!$D:$D,E15))</f>
        <v/>
      </c>
      <c r="G15" s="8" t="n"/>
      <c r="H15" s="8" t="n"/>
      <c r="I15" s="8" t="n"/>
      <c r="J15" s="8" t="n"/>
      <c r="K15" s="8" t="n"/>
    </row>
    <row r="16" ht="22" customHeight="1">
      <c r="A16" s="30" t="inlineStr">
        <is>
          <t>Alimentação</t>
        </is>
      </c>
      <c r="B16" s="31">
        <f>CHOOSE(MATCH($G$2,{"C1","C2","C1+C2"},0),SUMIFS(Lancamentos!$G:$G,Lancamentos!$B:$B,"&gt;="&amp;DATE($E$2,$B$2,1),Lancamentos!$B:$B,"&lt;="&amp;DATE($E$2,$B$2+1,0),Lancamentos!$A:$A,"Despesa",Lancamentos!$F:$F,1,Lancamentos!$D:$D,A16),SUMIFS(Lancamentos!$G:$G,Lancamentos!$B:$B,"&gt;="&amp;DATE($E$2,$B$2,1),Lancamentos!$B:$B,"&lt;="&amp;DATE($E$2,$B$2+1,0),Lancamentos!$A:$A,"Despesa",Lancamentos!$F:$F,2,Lancamentos!$D:$D,A16),SUMIFS(Lancamentos!$G:$G,Lancamentos!$B:$B,"&gt;="&amp;DATE($E$2,$B$2,1),Lancamentos!$B:$B,"&lt;="&amp;DATE($E$2,$B$2+1,0),Lancamentos!$A:$A,"Despesa",Lancamentos!$D:$D,A16))</f>
        <v/>
      </c>
      <c r="C16" s="8" t="n"/>
      <c r="D16" s="8" t="n"/>
      <c r="E16" s="30" t="inlineStr">
        <is>
          <t>Cartões</t>
        </is>
      </c>
      <c r="F16" s="31">
        <f>CHOOSE(MATCH($G$2,{"C1","C2","C1+C2"},0),SUMIFS(Lancamentos!$G:$G,Lancamentos!$B:$B,"&gt;="&amp;DATE($E$2,$B$2,1),Lancamentos!$B:$B,"&lt;="&amp;DATE($E$2,$B$2+1,0),Lancamentos!$A:$A,"Despesa",Lancamentos!$F:$F,1,Lancamentos!$D:$D,E16),SUMIFS(Lancamentos!$G:$G,Lancamentos!$B:$B,"&gt;="&amp;DATE($E$2,$B$2,1),Lancamentos!$B:$B,"&lt;="&amp;DATE($E$2,$B$2+1,0),Lancamentos!$A:$A,"Despesa",Lancamentos!$F:$F,2,Lancamentos!$D:$D,E16),SUMIFS(Lancamentos!$G:$G,Lancamentos!$B:$B,"&gt;="&amp;DATE($E$2,$B$2,1),Lancamentos!$B:$B,"&lt;="&amp;DATE($E$2,$B$2+1,0),Lancamentos!$A:$A,"Despesa",Lancamentos!$D:$D,E16))</f>
        <v/>
      </c>
      <c r="G16" s="8" t="n"/>
      <c r="H16" s="8" t="n"/>
      <c r="I16" s="8" t="n"/>
      <c r="J16" s="8" t="n"/>
      <c r="K16" s="8" t="n"/>
    </row>
    <row r="17" ht="22" customHeight="1">
      <c r="A17" s="28" t="inlineStr">
        <is>
          <t>Transporte</t>
        </is>
      </c>
      <c r="B17" s="29">
        <f>CHOOSE(MATCH($G$2,{"C1","C2","C1+C2"},0),SUMIFS(Lancamentos!$G:$G,Lancamentos!$B:$B,"&gt;="&amp;DATE($E$2,$B$2,1),Lancamentos!$B:$B,"&lt;="&amp;DATE($E$2,$B$2+1,0),Lancamentos!$A:$A,"Despesa",Lancamentos!$F:$F,1,Lancamentos!$D:$D,A17),SUMIFS(Lancamentos!$G:$G,Lancamentos!$B:$B,"&gt;="&amp;DATE($E$2,$B$2,1),Lancamentos!$B:$B,"&lt;="&amp;DATE($E$2,$B$2+1,0),Lancamentos!$A:$A,"Despesa",Lancamentos!$F:$F,2,Lancamentos!$D:$D,A17),SUMIFS(Lancamentos!$G:$G,Lancamentos!$B:$B,"&gt;="&amp;DATE($E$2,$B$2,1),Lancamentos!$B:$B,"&lt;="&amp;DATE($E$2,$B$2+1,0),Lancamentos!$A:$A,"Despesa",Lancamentos!$D:$D,A17))</f>
        <v/>
      </c>
      <c r="C17" s="8" t="n"/>
      <c r="D17" s="8" t="n"/>
      <c r="E17" s="28" t="inlineStr">
        <is>
          <t>Celular</t>
        </is>
      </c>
      <c r="F17" s="29">
        <f>CHOOSE(MATCH($G$2,{"C1","C2","C1+C2"},0),SUMIFS(Lancamentos!$G:$G,Lancamentos!$B:$B,"&gt;="&amp;DATE($E$2,$B$2,1),Lancamentos!$B:$B,"&lt;="&amp;DATE($E$2,$B$2+1,0),Lancamentos!$A:$A,"Despesa",Lancamentos!$F:$F,1,Lancamentos!$D:$D,E17),SUMIFS(Lancamentos!$G:$G,Lancamentos!$B:$B,"&gt;="&amp;DATE($E$2,$B$2,1),Lancamentos!$B:$B,"&lt;="&amp;DATE($E$2,$B$2+1,0),Lancamentos!$A:$A,"Despesa",Lancamentos!$F:$F,2,Lancamentos!$D:$D,E17),SUMIFS(Lancamentos!$G:$G,Lancamentos!$B:$B,"&gt;="&amp;DATE($E$2,$B$2,1),Lancamentos!$B:$B,"&lt;="&amp;DATE($E$2,$B$2+1,0),Lancamentos!$A:$A,"Despesa",Lancamentos!$D:$D,E17))</f>
        <v/>
      </c>
      <c r="G17" s="8" t="n"/>
      <c r="H17" s="8" t="n"/>
      <c r="I17" s="8" t="n"/>
      <c r="J17" s="8" t="n"/>
      <c r="K17" s="8" t="n"/>
    </row>
    <row r="18" ht="22" customHeight="1">
      <c r="A18" s="30" t="inlineStr">
        <is>
          <t>Saúde</t>
        </is>
      </c>
      <c r="B18" s="31">
        <f>CHOOSE(MATCH($G$2,{"C1","C2","C1+C2"},0),SUMIFS(Lancamentos!$G:$G,Lancamentos!$B:$B,"&gt;="&amp;DATE($E$2,$B$2,1),Lancamentos!$B:$B,"&lt;="&amp;DATE($E$2,$B$2+1,0),Lancamentos!$A:$A,"Despesa",Lancamentos!$F:$F,1,Lancamentos!$D:$D,A18),SUMIFS(Lancamentos!$G:$G,Lancamentos!$B:$B,"&gt;="&amp;DATE($E$2,$B$2,1),Lancamentos!$B:$B,"&lt;="&amp;DATE($E$2,$B$2+1,0),Lancamentos!$A:$A,"Despesa",Lancamentos!$F:$F,2,Lancamentos!$D:$D,A18),SUMIFS(Lancamentos!$G:$G,Lancamentos!$B:$B,"&gt;="&amp;DATE($E$2,$B$2,1),Lancamentos!$B:$B,"&lt;="&amp;DATE($E$2,$B$2+1,0),Lancamentos!$A:$A,"Despesa",Lancamentos!$D:$D,A18))</f>
        <v/>
      </c>
      <c r="C18" s="8" t="n"/>
      <c r="D18" s="8" t="n"/>
      <c r="E18" s="30" t="inlineStr">
        <is>
          <t>Outros</t>
        </is>
      </c>
      <c r="F18" s="31">
        <f>CHOOSE(MATCH($G$2,{"C1","C2","C1+C2"},0),SUMIFS(Lancamentos!$G:$G,Lancamentos!$B:$B,"&gt;="&amp;DATE($E$2,$B$2,1),Lancamentos!$B:$B,"&lt;="&amp;DATE($E$2,$B$2+1,0),Lancamentos!$A:$A,"Despesa",Lancamentos!$F:$F,1,Lancamentos!$D:$D,E18),SUMIFS(Lancamentos!$G:$G,Lancamentos!$B:$B,"&gt;="&amp;DATE($E$2,$B$2,1),Lancamentos!$B:$B,"&lt;="&amp;DATE($E$2,$B$2+1,0),Lancamentos!$A:$A,"Despesa",Lancamentos!$F:$F,2,Lancamentos!$D:$D,E18),SUMIFS(Lancamentos!$G:$G,Lancamentos!$B:$B,"&gt;="&amp;DATE($E$2,$B$2,1),Lancamentos!$B:$B,"&lt;="&amp;DATE($E$2,$B$2+1,0),Lancamentos!$A:$A,"Despesa",Lancamentos!$D:$D,E18))</f>
        <v/>
      </c>
      <c r="G18" s="8" t="n"/>
      <c r="H18" s="8" t="n"/>
      <c r="I18" s="8" t="n"/>
      <c r="J18" s="8" t="n"/>
      <c r="K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</sheetData>
  <mergeCells count="12">
    <mergeCell ref="C7:K7"/>
    <mergeCell ref="C9:F9"/>
    <mergeCell ref="A4:K4"/>
    <mergeCell ref="C11:K11"/>
    <mergeCell ref="C10:K10"/>
    <mergeCell ref="C5:K5"/>
    <mergeCell ref="H2:K2"/>
    <mergeCell ref="A13:K13"/>
    <mergeCell ref="A9:B9"/>
    <mergeCell ref="A1:K1"/>
    <mergeCell ref="G9:K9"/>
    <mergeCell ref="C6:K6"/>
  </mergeCells>
  <dataValidations count="1">
    <dataValidation sqref="G2" showDropDown="0" showInputMessage="0" showErrorMessage="0" allowBlank="0" type="list">
      <formula1>"C1,C2,C1+C2"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32" t="inlineStr">
        <is>
          <t>📅  RESUMO ANUAL</t>
        </is>
      </c>
    </row>
    <row r="2" ht="30" customHeight="1">
      <c r="A2" s="33" t="inlineStr">
        <is>
          <t>ANO</t>
        </is>
      </c>
      <c r="B2" s="34">
        <f>Dashboard!E2</f>
        <v/>
      </c>
      <c r="C2" s="5" t="n"/>
      <c r="D2" s="5" t="n"/>
      <c r="E2" s="5" t="n"/>
      <c r="F2" s="5" t="n"/>
      <c r="G2" s="5" t="n"/>
      <c r="H2" s="5" t="n"/>
    </row>
    <row r="3" ht="6" customHeight="1">
      <c r="A3" s="18" t="n"/>
      <c r="B3" s="18" t="n"/>
      <c r="C3" s="18" t="n"/>
      <c r="D3" s="18" t="n"/>
      <c r="E3" s="18" t="n"/>
      <c r="F3" s="18" t="n"/>
      <c r="G3" s="18" t="n"/>
      <c r="H3" s="18" t="n"/>
    </row>
    <row r="4" ht="24" customHeight="1">
      <c r="A4" s="35" t="inlineStr">
        <is>
          <t>Mês</t>
        </is>
      </c>
      <c r="B4" s="35" t="inlineStr">
        <is>
          <t>Receitas</t>
        </is>
      </c>
      <c r="C4" s="35" t="inlineStr">
        <is>
          <t>Despesas</t>
        </is>
      </c>
      <c r="D4" s="35" t="inlineStr">
        <is>
          <t>Saldo</t>
        </is>
      </c>
      <c r="E4" s="35" t="inlineStr">
        <is>
          <t>% Gasto</t>
        </is>
      </c>
      <c r="F4" s="35" t="inlineStr">
        <is>
          <t>Rec C1
(1-14)</t>
        </is>
      </c>
      <c r="G4" s="35" t="inlineStr">
        <is>
          <t>Rec C2
(15-fim)</t>
        </is>
      </c>
      <c r="H4" s="35" t="inlineStr">
        <is>
          <t>Desp C1
(1-14)</t>
        </is>
      </c>
    </row>
    <row r="5" ht="22" customHeight="1">
      <c r="A5" s="36" t="inlineStr">
        <is>
          <t>Janeiro</t>
        </is>
      </c>
      <c r="B5" s="37">
        <f>SUMIFS(Lancamentos!$G:$G,Lancamentos!$A:$A,"Receita",Lancamentos!$B:$B,"&gt;="&amp;DATE($B$2,1,1),Lancamentos!$B:$B,"&lt;="&amp;DATE($B$2,1+1,0))</f>
        <v/>
      </c>
      <c r="C5" s="38">
        <f>SUMIFS(Lancamentos!$G:$G,Lancamentos!$A:$A,"Despesa",Lancamentos!$B:$B,"&gt;="&amp;DATE($B$2,1,1),Lancamentos!$B:$B,"&lt;="&amp;DATE($B$2,1+1,0))</f>
        <v/>
      </c>
      <c r="D5" s="39">
        <f>B5-C5</f>
        <v/>
      </c>
      <c r="E5" s="40">
        <f>IF(B5=0,0,C5/B5)</f>
        <v/>
      </c>
      <c r="F5" s="37">
        <f>SUMIFS(Lancamentos!$G:$G,Lancamentos!$A:$A,"Receita",Lancamentos!$B:$B,"&gt;="&amp;DATE($B$2,1,1),Lancamentos!$B:$B,"&lt;="&amp;DATE($B$2,1+1,0),Lancamentos!$F:$F,1)</f>
        <v/>
      </c>
      <c r="G5" s="37">
        <f>SUMIFS(Lancamentos!$G:$G,Lancamentos!$A:$A,"Receita",Lancamentos!$B:$B,"&gt;="&amp;DATE($B$2,1,1),Lancamentos!$B:$B,"&lt;="&amp;DATE($B$2,1+1,0),Lancamentos!$F:$F,2)</f>
        <v/>
      </c>
      <c r="H5" s="38">
        <f>SUMIFS(Lancamentos!$G:$G,Lancamentos!$A:$A,"Despesa",Lancamentos!$B:$B,"&gt;="&amp;DATE($B$2,1,1),Lancamentos!$B:$B,"&lt;="&amp;DATE($B$2,1+1,0),Lancamentos!$F:$F,1)</f>
        <v/>
      </c>
    </row>
    <row r="6" ht="22" customHeight="1">
      <c r="A6" s="41" t="inlineStr">
        <is>
          <t>Fevereiro</t>
        </is>
      </c>
      <c r="B6" s="42">
        <f>SUMIFS(Lancamentos!$G:$G,Lancamentos!$A:$A,"Receita",Lancamentos!$B:$B,"&gt;="&amp;DATE($B$2,2,1),Lancamentos!$B:$B,"&lt;="&amp;DATE($B$2,2+1,0))</f>
        <v/>
      </c>
      <c r="C6" s="43">
        <f>SUMIFS(Lancamentos!$G:$G,Lancamentos!$A:$A,"Despesa",Lancamentos!$B:$B,"&gt;="&amp;DATE($B$2,2,1),Lancamentos!$B:$B,"&lt;="&amp;DATE($B$2,2+1,0))</f>
        <v/>
      </c>
      <c r="D6" s="44">
        <f>B6-C6</f>
        <v/>
      </c>
      <c r="E6" s="45">
        <f>IF(B6=0,0,C6/B6)</f>
        <v/>
      </c>
      <c r="F6" s="42">
        <f>SUMIFS(Lancamentos!$G:$G,Lancamentos!$A:$A,"Receita",Lancamentos!$B:$B,"&gt;="&amp;DATE($B$2,2,1),Lancamentos!$B:$B,"&lt;="&amp;DATE($B$2,2+1,0),Lancamentos!$F:$F,1)</f>
        <v/>
      </c>
      <c r="G6" s="42">
        <f>SUMIFS(Lancamentos!$G:$G,Lancamentos!$A:$A,"Receita",Lancamentos!$B:$B,"&gt;="&amp;DATE($B$2,2,1),Lancamentos!$B:$B,"&lt;="&amp;DATE($B$2,2+1,0),Lancamentos!$F:$F,2)</f>
        <v/>
      </c>
      <c r="H6" s="43">
        <f>SUMIFS(Lancamentos!$G:$G,Lancamentos!$A:$A,"Despesa",Lancamentos!$B:$B,"&gt;="&amp;DATE($B$2,2,1),Lancamentos!$B:$B,"&lt;="&amp;DATE($B$2,2+1,0),Lancamentos!$F:$F,1)</f>
        <v/>
      </c>
    </row>
    <row r="7" ht="22" customHeight="1">
      <c r="A7" s="36" t="inlineStr">
        <is>
          <t>Março</t>
        </is>
      </c>
      <c r="B7" s="37">
        <f>SUMIFS(Lancamentos!$G:$G,Lancamentos!$A:$A,"Receita",Lancamentos!$B:$B,"&gt;="&amp;DATE($B$2,3,1),Lancamentos!$B:$B,"&lt;="&amp;DATE($B$2,3+1,0))</f>
        <v/>
      </c>
      <c r="C7" s="38">
        <f>SUMIFS(Lancamentos!$G:$G,Lancamentos!$A:$A,"Despesa",Lancamentos!$B:$B,"&gt;="&amp;DATE($B$2,3,1),Lancamentos!$B:$B,"&lt;="&amp;DATE($B$2,3+1,0))</f>
        <v/>
      </c>
      <c r="D7" s="39">
        <f>B7-C7</f>
        <v/>
      </c>
      <c r="E7" s="40">
        <f>IF(B7=0,0,C7/B7)</f>
        <v/>
      </c>
      <c r="F7" s="37">
        <f>SUMIFS(Lancamentos!$G:$G,Lancamentos!$A:$A,"Receita",Lancamentos!$B:$B,"&gt;="&amp;DATE($B$2,3,1),Lancamentos!$B:$B,"&lt;="&amp;DATE($B$2,3+1,0),Lancamentos!$F:$F,1)</f>
        <v/>
      </c>
      <c r="G7" s="37">
        <f>SUMIFS(Lancamentos!$G:$G,Lancamentos!$A:$A,"Receita",Lancamentos!$B:$B,"&gt;="&amp;DATE($B$2,3,1),Lancamentos!$B:$B,"&lt;="&amp;DATE($B$2,3+1,0),Lancamentos!$F:$F,2)</f>
        <v/>
      </c>
      <c r="H7" s="38">
        <f>SUMIFS(Lancamentos!$G:$G,Lancamentos!$A:$A,"Despesa",Lancamentos!$B:$B,"&gt;="&amp;DATE($B$2,3,1),Lancamentos!$B:$B,"&lt;="&amp;DATE($B$2,3+1,0),Lancamentos!$F:$F,1)</f>
        <v/>
      </c>
    </row>
    <row r="8" ht="22" customHeight="1">
      <c r="A8" s="41" t="inlineStr">
        <is>
          <t>Abril</t>
        </is>
      </c>
      <c r="B8" s="42">
        <f>SUMIFS(Lancamentos!$G:$G,Lancamentos!$A:$A,"Receita",Lancamentos!$B:$B,"&gt;="&amp;DATE($B$2,4,1),Lancamentos!$B:$B,"&lt;="&amp;DATE($B$2,4+1,0))</f>
        <v/>
      </c>
      <c r="C8" s="43">
        <f>SUMIFS(Lancamentos!$G:$G,Lancamentos!$A:$A,"Despesa",Lancamentos!$B:$B,"&gt;="&amp;DATE($B$2,4,1),Lancamentos!$B:$B,"&lt;="&amp;DATE($B$2,4+1,0))</f>
        <v/>
      </c>
      <c r="D8" s="44">
        <f>B8-C8</f>
        <v/>
      </c>
      <c r="E8" s="45">
        <f>IF(B8=0,0,C8/B8)</f>
        <v/>
      </c>
      <c r="F8" s="42">
        <f>SUMIFS(Lancamentos!$G:$G,Lancamentos!$A:$A,"Receita",Lancamentos!$B:$B,"&gt;="&amp;DATE($B$2,4,1),Lancamentos!$B:$B,"&lt;="&amp;DATE($B$2,4+1,0),Lancamentos!$F:$F,1)</f>
        <v/>
      </c>
      <c r="G8" s="42">
        <f>SUMIFS(Lancamentos!$G:$G,Lancamentos!$A:$A,"Receita",Lancamentos!$B:$B,"&gt;="&amp;DATE($B$2,4,1),Lancamentos!$B:$B,"&lt;="&amp;DATE($B$2,4+1,0),Lancamentos!$F:$F,2)</f>
        <v/>
      </c>
      <c r="H8" s="43">
        <f>SUMIFS(Lancamentos!$G:$G,Lancamentos!$A:$A,"Despesa",Lancamentos!$B:$B,"&gt;="&amp;DATE($B$2,4,1),Lancamentos!$B:$B,"&lt;="&amp;DATE($B$2,4+1,0),Lancamentos!$F:$F,1)</f>
        <v/>
      </c>
    </row>
    <row r="9" ht="22" customHeight="1">
      <c r="A9" s="36" t="inlineStr">
        <is>
          <t>Maio</t>
        </is>
      </c>
      <c r="B9" s="37">
        <f>SUMIFS(Lancamentos!$G:$G,Lancamentos!$A:$A,"Receita",Lancamentos!$B:$B,"&gt;="&amp;DATE($B$2,5,1),Lancamentos!$B:$B,"&lt;="&amp;DATE($B$2,5+1,0))</f>
        <v/>
      </c>
      <c r="C9" s="38">
        <f>SUMIFS(Lancamentos!$G:$G,Lancamentos!$A:$A,"Despesa",Lancamentos!$B:$B,"&gt;="&amp;DATE($B$2,5,1),Lancamentos!$B:$B,"&lt;="&amp;DATE($B$2,5+1,0))</f>
        <v/>
      </c>
      <c r="D9" s="39">
        <f>B9-C9</f>
        <v/>
      </c>
      <c r="E9" s="40">
        <f>IF(B9=0,0,C9/B9)</f>
        <v/>
      </c>
      <c r="F9" s="37">
        <f>SUMIFS(Lancamentos!$G:$G,Lancamentos!$A:$A,"Receita",Lancamentos!$B:$B,"&gt;="&amp;DATE($B$2,5,1),Lancamentos!$B:$B,"&lt;="&amp;DATE($B$2,5+1,0),Lancamentos!$F:$F,1)</f>
        <v/>
      </c>
      <c r="G9" s="37">
        <f>SUMIFS(Lancamentos!$G:$G,Lancamentos!$A:$A,"Receita",Lancamentos!$B:$B,"&gt;="&amp;DATE($B$2,5,1),Lancamentos!$B:$B,"&lt;="&amp;DATE($B$2,5+1,0),Lancamentos!$F:$F,2)</f>
        <v/>
      </c>
      <c r="H9" s="38">
        <f>SUMIFS(Lancamentos!$G:$G,Lancamentos!$A:$A,"Despesa",Lancamentos!$B:$B,"&gt;="&amp;DATE($B$2,5,1),Lancamentos!$B:$B,"&lt;="&amp;DATE($B$2,5+1,0),Lancamentos!$F:$F,1)</f>
        <v/>
      </c>
    </row>
    <row r="10" ht="22" customHeight="1">
      <c r="A10" s="41" t="inlineStr">
        <is>
          <t>Junho</t>
        </is>
      </c>
      <c r="B10" s="42">
        <f>SUMIFS(Lancamentos!$G:$G,Lancamentos!$A:$A,"Receita",Lancamentos!$B:$B,"&gt;="&amp;DATE($B$2,6,1),Lancamentos!$B:$B,"&lt;="&amp;DATE($B$2,6+1,0))</f>
        <v/>
      </c>
      <c r="C10" s="43">
        <f>SUMIFS(Lancamentos!$G:$G,Lancamentos!$A:$A,"Despesa",Lancamentos!$B:$B,"&gt;="&amp;DATE($B$2,6,1),Lancamentos!$B:$B,"&lt;="&amp;DATE($B$2,6+1,0))</f>
        <v/>
      </c>
      <c r="D10" s="44">
        <f>B10-C10</f>
        <v/>
      </c>
      <c r="E10" s="45">
        <f>IF(B10=0,0,C10/B10)</f>
        <v/>
      </c>
      <c r="F10" s="42">
        <f>SUMIFS(Lancamentos!$G:$G,Lancamentos!$A:$A,"Receita",Lancamentos!$B:$B,"&gt;="&amp;DATE($B$2,6,1),Lancamentos!$B:$B,"&lt;="&amp;DATE($B$2,6+1,0),Lancamentos!$F:$F,1)</f>
        <v/>
      </c>
      <c r="G10" s="42">
        <f>SUMIFS(Lancamentos!$G:$G,Lancamentos!$A:$A,"Receita",Lancamentos!$B:$B,"&gt;="&amp;DATE($B$2,6,1),Lancamentos!$B:$B,"&lt;="&amp;DATE($B$2,6+1,0),Lancamentos!$F:$F,2)</f>
        <v/>
      </c>
      <c r="H10" s="43">
        <f>SUMIFS(Lancamentos!$G:$G,Lancamentos!$A:$A,"Despesa",Lancamentos!$B:$B,"&gt;="&amp;DATE($B$2,6,1),Lancamentos!$B:$B,"&lt;="&amp;DATE($B$2,6+1,0),Lancamentos!$F:$F,1)</f>
        <v/>
      </c>
    </row>
    <row r="11" ht="22" customHeight="1">
      <c r="A11" s="36" t="inlineStr">
        <is>
          <t>Julho</t>
        </is>
      </c>
      <c r="B11" s="37">
        <f>SUMIFS(Lancamentos!$G:$G,Lancamentos!$A:$A,"Receita",Lancamentos!$B:$B,"&gt;="&amp;DATE($B$2,7,1),Lancamentos!$B:$B,"&lt;="&amp;DATE($B$2,7+1,0))</f>
        <v/>
      </c>
      <c r="C11" s="38">
        <f>SUMIFS(Lancamentos!$G:$G,Lancamentos!$A:$A,"Despesa",Lancamentos!$B:$B,"&gt;="&amp;DATE($B$2,7,1),Lancamentos!$B:$B,"&lt;="&amp;DATE($B$2,7+1,0))</f>
        <v/>
      </c>
      <c r="D11" s="39">
        <f>B11-C11</f>
        <v/>
      </c>
      <c r="E11" s="40">
        <f>IF(B11=0,0,C11/B11)</f>
        <v/>
      </c>
      <c r="F11" s="37">
        <f>SUMIFS(Lancamentos!$G:$G,Lancamentos!$A:$A,"Receita",Lancamentos!$B:$B,"&gt;="&amp;DATE($B$2,7,1),Lancamentos!$B:$B,"&lt;="&amp;DATE($B$2,7+1,0),Lancamentos!$F:$F,1)</f>
        <v/>
      </c>
      <c r="G11" s="37">
        <f>SUMIFS(Lancamentos!$G:$G,Lancamentos!$A:$A,"Receita",Lancamentos!$B:$B,"&gt;="&amp;DATE($B$2,7,1),Lancamentos!$B:$B,"&lt;="&amp;DATE($B$2,7+1,0),Lancamentos!$F:$F,2)</f>
        <v/>
      </c>
      <c r="H11" s="38">
        <f>SUMIFS(Lancamentos!$G:$G,Lancamentos!$A:$A,"Despesa",Lancamentos!$B:$B,"&gt;="&amp;DATE($B$2,7,1),Lancamentos!$B:$B,"&lt;="&amp;DATE($B$2,7+1,0),Lancamentos!$F:$F,1)</f>
        <v/>
      </c>
    </row>
    <row r="12" ht="22" customHeight="1">
      <c r="A12" s="41" t="inlineStr">
        <is>
          <t>Agosto</t>
        </is>
      </c>
      <c r="B12" s="42">
        <f>SUMIFS(Lancamentos!$G:$G,Lancamentos!$A:$A,"Receita",Lancamentos!$B:$B,"&gt;="&amp;DATE($B$2,8,1),Lancamentos!$B:$B,"&lt;="&amp;DATE($B$2,8+1,0))</f>
        <v/>
      </c>
      <c r="C12" s="43">
        <f>SUMIFS(Lancamentos!$G:$G,Lancamentos!$A:$A,"Despesa",Lancamentos!$B:$B,"&gt;="&amp;DATE($B$2,8,1),Lancamentos!$B:$B,"&lt;="&amp;DATE($B$2,8+1,0))</f>
        <v/>
      </c>
      <c r="D12" s="44">
        <f>B12-C12</f>
        <v/>
      </c>
      <c r="E12" s="45">
        <f>IF(B12=0,0,C12/B12)</f>
        <v/>
      </c>
      <c r="F12" s="42">
        <f>SUMIFS(Lancamentos!$G:$G,Lancamentos!$A:$A,"Receita",Lancamentos!$B:$B,"&gt;="&amp;DATE($B$2,8,1),Lancamentos!$B:$B,"&lt;="&amp;DATE($B$2,8+1,0),Lancamentos!$F:$F,1)</f>
        <v/>
      </c>
      <c r="G12" s="42">
        <f>SUMIFS(Lancamentos!$G:$G,Lancamentos!$A:$A,"Receita",Lancamentos!$B:$B,"&gt;="&amp;DATE($B$2,8,1),Lancamentos!$B:$B,"&lt;="&amp;DATE($B$2,8+1,0),Lancamentos!$F:$F,2)</f>
        <v/>
      </c>
      <c r="H12" s="43">
        <f>SUMIFS(Lancamentos!$G:$G,Lancamentos!$A:$A,"Despesa",Lancamentos!$B:$B,"&gt;="&amp;DATE($B$2,8,1),Lancamentos!$B:$B,"&lt;="&amp;DATE($B$2,8+1,0),Lancamentos!$F:$F,1)</f>
        <v/>
      </c>
    </row>
    <row r="13" ht="22" customHeight="1">
      <c r="A13" s="36" t="inlineStr">
        <is>
          <t>Setembro</t>
        </is>
      </c>
      <c r="B13" s="37">
        <f>SUMIFS(Lancamentos!$G:$G,Lancamentos!$A:$A,"Receita",Lancamentos!$B:$B,"&gt;="&amp;DATE($B$2,9,1),Lancamentos!$B:$B,"&lt;="&amp;DATE($B$2,9+1,0))</f>
        <v/>
      </c>
      <c r="C13" s="38">
        <f>SUMIFS(Lancamentos!$G:$G,Lancamentos!$A:$A,"Despesa",Lancamentos!$B:$B,"&gt;="&amp;DATE($B$2,9,1),Lancamentos!$B:$B,"&lt;="&amp;DATE($B$2,9+1,0))</f>
        <v/>
      </c>
      <c r="D13" s="39">
        <f>B13-C13</f>
        <v/>
      </c>
      <c r="E13" s="40">
        <f>IF(B13=0,0,C13/B13)</f>
        <v/>
      </c>
      <c r="F13" s="37">
        <f>SUMIFS(Lancamentos!$G:$G,Lancamentos!$A:$A,"Receita",Lancamentos!$B:$B,"&gt;="&amp;DATE($B$2,9,1),Lancamentos!$B:$B,"&lt;="&amp;DATE($B$2,9+1,0),Lancamentos!$F:$F,1)</f>
        <v/>
      </c>
      <c r="G13" s="37">
        <f>SUMIFS(Lancamentos!$G:$G,Lancamentos!$A:$A,"Receita",Lancamentos!$B:$B,"&gt;="&amp;DATE($B$2,9,1),Lancamentos!$B:$B,"&lt;="&amp;DATE($B$2,9+1,0),Lancamentos!$F:$F,2)</f>
        <v/>
      </c>
      <c r="H13" s="38">
        <f>SUMIFS(Lancamentos!$G:$G,Lancamentos!$A:$A,"Despesa",Lancamentos!$B:$B,"&gt;="&amp;DATE($B$2,9,1),Lancamentos!$B:$B,"&lt;="&amp;DATE($B$2,9+1,0),Lancamentos!$F:$F,1)</f>
        <v/>
      </c>
    </row>
    <row r="14" ht="22" customHeight="1">
      <c r="A14" s="41" t="inlineStr">
        <is>
          <t>Outubro</t>
        </is>
      </c>
      <c r="B14" s="42">
        <f>SUMIFS(Lancamentos!$G:$G,Lancamentos!$A:$A,"Receita",Lancamentos!$B:$B,"&gt;="&amp;DATE($B$2,10,1),Lancamentos!$B:$B,"&lt;="&amp;DATE($B$2,10+1,0))</f>
        <v/>
      </c>
      <c r="C14" s="43">
        <f>SUMIFS(Lancamentos!$G:$G,Lancamentos!$A:$A,"Despesa",Lancamentos!$B:$B,"&gt;="&amp;DATE($B$2,10,1),Lancamentos!$B:$B,"&lt;="&amp;DATE($B$2,10+1,0))</f>
        <v/>
      </c>
      <c r="D14" s="44">
        <f>B14-C14</f>
        <v/>
      </c>
      <c r="E14" s="45">
        <f>IF(B14=0,0,C14/B14)</f>
        <v/>
      </c>
      <c r="F14" s="42">
        <f>SUMIFS(Lancamentos!$G:$G,Lancamentos!$A:$A,"Receita",Lancamentos!$B:$B,"&gt;="&amp;DATE($B$2,10,1),Lancamentos!$B:$B,"&lt;="&amp;DATE($B$2,10+1,0),Lancamentos!$F:$F,1)</f>
        <v/>
      </c>
      <c r="G14" s="42">
        <f>SUMIFS(Lancamentos!$G:$G,Lancamentos!$A:$A,"Receita",Lancamentos!$B:$B,"&gt;="&amp;DATE($B$2,10,1),Lancamentos!$B:$B,"&lt;="&amp;DATE($B$2,10+1,0),Lancamentos!$F:$F,2)</f>
        <v/>
      </c>
      <c r="H14" s="43">
        <f>SUMIFS(Lancamentos!$G:$G,Lancamentos!$A:$A,"Despesa",Lancamentos!$B:$B,"&gt;="&amp;DATE($B$2,10,1),Lancamentos!$B:$B,"&lt;="&amp;DATE($B$2,10+1,0),Lancamentos!$F:$F,1)</f>
        <v/>
      </c>
    </row>
    <row r="15" ht="22" customHeight="1">
      <c r="A15" s="36" t="inlineStr">
        <is>
          <t>Novembro</t>
        </is>
      </c>
      <c r="B15" s="37">
        <f>SUMIFS(Lancamentos!$G:$G,Lancamentos!$A:$A,"Receita",Lancamentos!$B:$B,"&gt;="&amp;DATE($B$2,11,1),Lancamentos!$B:$B,"&lt;="&amp;DATE($B$2,11+1,0))</f>
        <v/>
      </c>
      <c r="C15" s="38">
        <f>SUMIFS(Lancamentos!$G:$G,Lancamentos!$A:$A,"Despesa",Lancamentos!$B:$B,"&gt;="&amp;DATE($B$2,11,1),Lancamentos!$B:$B,"&lt;="&amp;DATE($B$2,11+1,0))</f>
        <v/>
      </c>
      <c r="D15" s="39">
        <f>B15-C15</f>
        <v/>
      </c>
      <c r="E15" s="40">
        <f>IF(B15=0,0,C15/B15)</f>
        <v/>
      </c>
      <c r="F15" s="37">
        <f>SUMIFS(Lancamentos!$G:$G,Lancamentos!$A:$A,"Receita",Lancamentos!$B:$B,"&gt;="&amp;DATE($B$2,11,1),Lancamentos!$B:$B,"&lt;="&amp;DATE($B$2,11+1,0),Lancamentos!$F:$F,1)</f>
        <v/>
      </c>
      <c r="G15" s="37">
        <f>SUMIFS(Lancamentos!$G:$G,Lancamentos!$A:$A,"Receita",Lancamentos!$B:$B,"&gt;="&amp;DATE($B$2,11,1),Lancamentos!$B:$B,"&lt;="&amp;DATE($B$2,11+1,0),Lancamentos!$F:$F,2)</f>
        <v/>
      </c>
      <c r="H15" s="38">
        <f>SUMIFS(Lancamentos!$G:$G,Lancamentos!$A:$A,"Despesa",Lancamentos!$B:$B,"&gt;="&amp;DATE($B$2,11,1),Lancamentos!$B:$B,"&lt;="&amp;DATE($B$2,11+1,0),Lancamentos!$F:$F,1)</f>
        <v/>
      </c>
    </row>
    <row r="16" ht="22" customHeight="1">
      <c r="A16" s="41" t="inlineStr">
        <is>
          <t>Dezembro</t>
        </is>
      </c>
      <c r="B16" s="42">
        <f>SUMIFS(Lancamentos!$G:$G,Lancamentos!$A:$A,"Receita",Lancamentos!$B:$B,"&gt;="&amp;DATE($B$2,12,1),Lancamentos!$B:$B,"&lt;="&amp;DATE($B$2,12+1,0))</f>
        <v/>
      </c>
      <c r="C16" s="43">
        <f>SUMIFS(Lancamentos!$G:$G,Lancamentos!$A:$A,"Despesa",Lancamentos!$B:$B,"&gt;="&amp;DATE($B$2,12,1),Lancamentos!$B:$B,"&lt;="&amp;DATE($B$2,12+1,0))</f>
        <v/>
      </c>
      <c r="D16" s="44">
        <f>B16-C16</f>
        <v/>
      </c>
      <c r="E16" s="45">
        <f>IF(B16=0,0,C16/B16)</f>
        <v/>
      </c>
      <c r="F16" s="42">
        <f>SUMIFS(Lancamentos!$G:$G,Lancamentos!$A:$A,"Receita",Lancamentos!$B:$B,"&gt;="&amp;DATE($B$2,12,1),Lancamentos!$B:$B,"&lt;="&amp;DATE($B$2,12+1,0),Lancamentos!$F:$F,1)</f>
        <v/>
      </c>
      <c r="G16" s="42">
        <f>SUMIFS(Lancamentos!$G:$G,Lancamentos!$A:$A,"Receita",Lancamentos!$B:$B,"&gt;="&amp;DATE($B$2,12,1),Lancamentos!$B:$B,"&lt;="&amp;DATE($B$2,12+1,0),Lancamentos!$F:$F,2)</f>
        <v/>
      </c>
      <c r="H16" s="43">
        <f>SUMIFS(Lancamentos!$G:$G,Lancamentos!$A:$A,"Despesa",Lancamentos!$B:$B,"&gt;="&amp;DATE($B$2,12,1),Lancamentos!$B:$B,"&lt;="&amp;DATE($B$2,12+1,0),Lancamentos!$F:$F,1)</f>
        <v/>
      </c>
    </row>
    <row r="17" ht="28" customHeight="1">
      <c r="A17" s="19" t="inlineStr">
        <is>
          <t>📊 TOTAL</t>
        </is>
      </c>
      <c r="B17" s="46">
        <f>SUM(B5:B16)</f>
        <v/>
      </c>
      <c r="C17" s="46">
        <f>SUM(C5:C16)</f>
        <v/>
      </c>
      <c r="D17" s="46">
        <f>B17-C17</f>
        <v/>
      </c>
      <c r="E17" s="47">
        <f>IF(B17=0,0,C17/B17)</f>
        <v/>
      </c>
      <c r="F17" s="48" t="n"/>
      <c r="G17" s="48" t="n"/>
      <c r="H17" s="48" t="n"/>
    </row>
    <row r="18" ht="12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2" customHeight="1">
      <c r="A19" s="49" t="inlineStr">
        <is>
          <t>Indicadores do Ano</t>
        </is>
      </c>
    </row>
    <row r="20" ht="28" customHeight="1">
      <c r="A20" s="50" t="inlineStr">
        <is>
          <t>Média Rec/mês</t>
        </is>
      </c>
      <c r="B20" s="51">
        <f>AVERAGEIF(B5:B16,"&gt;0")</f>
        <v/>
      </c>
      <c r="C20" s="50" t="inlineStr">
        <is>
          <t>Média Desp/mês</t>
        </is>
      </c>
      <c r="D20" s="51">
        <f>AVERAGEIF(C5:C16,"&gt;0")</f>
        <v/>
      </c>
      <c r="E20" s="50" t="inlineStr">
        <is>
          <t>Melhor saldo</t>
        </is>
      </c>
      <c r="F20" s="51">
        <f>MAX(D5:D16)</f>
        <v/>
      </c>
      <c r="G20" s="50" t="inlineStr">
        <is>
          <t>Pior saldo</t>
        </is>
      </c>
      <c r="H20" s="51">
        <f>MIN(D5:D16)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</sheetData>
  <mergeCells count="2"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2" customWidth="1" min="5" max="5"/>
    <col width="8" customWidth="1" min="6" max="6"/>
    <col width="14" customWidth="1" min="7" max="7"/>
    <col width="14" customWidth="1" min="8" max="8"/>
  </cols>
  <sheetData>
    <row r="1" ht="26" customHeight="1">
      <c r="A1" s="21" t="inlineStr">
        <is>
          <t>Tipo</t>
        </is>
      </c>
      <c r="B1" s="21" t="inlineStr">
        <is>
          <t>Data</t>
        </is>
      </c>
      <c r="C1" s="21" t="inlineStr">
        <is>
          <t>Descrição</t>
        </is>
      </c>
      <c r="D1" s="21" t="inlineStr">
        <is>
          <t>Categoria</t>
        </is>
      </c>
      <c r="E1" s="21" t="inlineStr">
        <is>
          <t>Responsável</t>
        </is>
      </c>
      <c r="F1" s="21" t="inlineStr">
        <is>
          <t>Ciclo</t>
        </is>
      </c>
      <c r="G1" s="21" t="inlineStr">
        <is>
          <t>Valor</t>
        </is>
      </c>
      <c r="H1" s="21" t="inlineStr">
        <is>
          <t>Status</t>
        </is>
      </c>
    </row>
    <row r="2" ht="20" customHeight="1">
      <c r="A2" s="52" t="inlineStr">
        <is>
          <t>Receita</t>
        </is>
      </c>
      <c r="B2" s="53" t="n">
        <v>46208</v>
      </c>
      <c r="C2" s="52" t="inlineStr">
        <is>
          <t>Salário Will</t>
        </is>
      </c>
      <c r="D2" s="52" t="inlineStr">
        <is>
          <t>Salário</t>
        </is>
      </c>
      <c r="E2" s="52" t="inlineStr">
        <is>
          <t>Will</t>
        </is>
      </c>
      <c r="F2" s="52" t="n">
        <v>1</v>
      </c>
      <c r="G2" s="54" t="n">
        <v>5000</v>
      </c>
      <c r="H2" s="52" t="inlineStr">
        <is>
          <t>Recebido</t>
        </is>
      </c>
    </row>
    <row r="3" ht="20" customHeight="1">
      <c r="A3" s="52" t="inlineStr">
        <is>
          <t>Receita</t>
        </is>
      </c>
      <c r="B3" s="53" t="n">
        <v>46208</v>
      </c>
      <c r="C3" s="52" t="inlineStr">
        <is>
          <t>Salário Sá</t>
        </is>
      </c>
      <c r="D3" s="52" t="inlineStr">
        <is>
          <t>Salário</t>
        </is>
      </c>
      <c r="E3" s="52" t="inlineStr">
        <is>
          <t>Sá</t>
        </is>
      </c>
      <c r="F3" s="52" t="n">
        <v>1</v>
      </c>
      <c r="G3" s="54" t="n">
        <v>3800</v>
      </c>
      <c r="H3" s="52" t="inlineStr">
        <is>
          <t>Recebido</t>
        </is>
      </c>
    </row>
    <row r="4" ht="20" customHeight="1">
      <c r="A4" s="52" t="inlineStr">
        <is>
          <t>Despesa</t>
        </is>
      </c>
      <c r="B4" s="53" t="n">
        <v>46206</v>
      </c>
      <c r="C4" s="52" t="inlineStr">
        <is>
          <t>Aluguel</t>
        </is>
      </c>
      <c r="D4" s="52" t="inlineStr">
        <is>
          <t>Aluguel</t>
        </is>
      </c>
      <c r="E4" s="52" t="inlineStr">
        <is>
          <t>Ambos</t>
        </is>
      </c>
      <c r="F4" s="52" t="n">
        <v>1</v>
      </c>
      <c r="G4" s="54" t="n">
        <v>1800</v>
      </c>
      <c r="H4" s="52" t="inlineStr">
        <is>
          <t>Pago</t>
        </is>
      </c>
    </row>
    <row r="5" ht="20" customHeight="1">
      <c r="A5" s="52" t="inlineStr">
        <is>
          <t>Despesa</t>
        </is>
      </c>
      <c r="B5" s="53" t="n">
        <v>46213</v>
      </c>
      <c r="C5" s="52" t="inlineStr">
        <is>
          <t>Internet</t>
        </is>
      </c>
      <c r="D5" s="52" t="inlineStr">
        <is>
          <t>Celular</t>
        </is>
      </c>
      <c r="E5" s="52" t="inlineStr">
        <is>
          <t>Ambos</t>
        </is>
      </c>
      <c r="F5" s="52" t="n">
        <v>1</v>
      </c>
      <c r="G5" s="54" t="n">
        <v>150</v>
      </c>
      <c r="H5" s="52" t="inlineStr">
        <is>
          <t>A Pagar</t>
        </is>
      </c>
    </row>
    <row r="6" ht="20" customHeight="1">
      <c r="A6" s="52" t="inlineStr">
        <is>
          <t>Despesa</t>
        </is>
      </c>
      <c r="B6" s="53" t="n">
        <v>46218</v>
      </c>
      <c r="C6" s="52" t="inlineStr">
        <is>
          <t>Fatura Will</t>
        </is>
      </c>
      <c r="D6" s="52" t="inlineStr">
        <is>
          <t>Cartões</t>
        </is>
      </c>
      <c r="E6" s="52" t="inlineStr">
        <is>
          <t>Will</t>
        </is>
      </c>
      <c r="F6" s="52" t="n">
        <v>2</v>
      </c>
      <c r="G6" s="54" t="n">
        <v>900</v>
      </c>
      <c r="H6" s="52" t="inlineStr">
        <is>
          <t>A Pagar</t>
        </is>
      </c>
    </row>
    <row r="7" ht="20" customHeight="1">
      <c r="A7" s="52" t="inlineStr">
        <is>
          <t>Receita</t>
        </is>
      </c>
      <c r="B7" s="53" t="n">
        <v>46223</v>
      </c>
      <c r="C7" s="52" t="inlineStr">
        <is>
          <t>Renda Extra</t>
        </is>
      </c>
      <c r="D7" s="52" t="inlineStr">
        <is>
          <t>Renda Extra</t>
        </is>
      </c>
      <c r="E7" s="52" t="inlineStr">
        <is>
          <t>Will</t>
        </is>
      </c>
      <c r="F7" s="52" t="n">
        <v>2</v>
      </c>
      <c r="G7" s="54" t="n">
        <v>500</v>
      </c>
      <c r="H7" s="52" t="inlineStr">
        <is>
          <t>A Receber</t>
        </is>
      </c>
    </row>
    <row r="8">
      <c r="A8" s="55" t="n"/>
      <c r="B8" s="55" t="n"/>
      <c r="C8" s="55" t="n"/>
      <c r="D8" s="55" t="n"/>
      <c r="E8" s="55" t="n"/>
      <c r="F8" s="55" t="n"/>
      <c r="G8" s="55" t="n"/>
      <c r="H8" s="55" t="n"/>
    </row>
    <row r="9">
      <c r="A9" s="55" t="n"/>
      <c r="B9" s="55" t="n"/>
      <c r="C9" s="55" t="n"/>
      <c r="D9" s="55" t="n"/>
      <c r="E9" s="55" t="n"/>
      <c r="F9" s="55" t="n"/>
      <c r="G9" s="55" t="n"/>
      <c r="H9" s="55" t="n"/>
    </row>
    <row r="10">
      <c r="A10" s="55" t="n"/>
      <c r="B10" s="55" t="n"/>
      <c r="C10" s="55" t="n"/>
      <c r="D10" s="55" t="n"/>
      <c r="E10" s="55" t="n"/>
      <c r="F10" s="55" t="n"/>
      <c r="G10" s="55" t="n"/>
      <c r="H10" s="55" t="n"/>
    </row>
    <row r="11">
      <c r="A11" s="55" t="n"/>
      <c r="B11" s="55" t="n"/>
      <c r="C11" s="55" t="n"/>
      <c r="D11" s="55" t="n"/>
      <c r="E11" s="55" t="n"/>
      <c r="F11" s="55" t="n"/>
      <c r="G11" s="55" t="n"/>
      <c r="H11" s="55" t="n"/>
    </row>
    <row r="12">
      <c r="A12" s="55" t="n"/>
      <c r="B12" s="55" t="n"/>
      <c r="C12" s="55" t="n"/>
      <c r="D12" s="55" t="n"/>
      <c r="E12" s="55" t="n"/>
      <c r="F12" s="55" t="n"/>
      <c r="G12" s="55" t="n"/>
      <c r="H12" s="55" t="n"/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</row>
    <row r="14">
      <c r="A14" s="55" t="n"/>
      <c r="B14" s="55" t="n"/>
      <c r="C14" s="55" t="n"/>
      <c r="D14" s="55" t="n"/>
      <c r="E14" s="55" t="n"/>
      <c r="F14" s="55" t="n"/>
      <c r="G14" s="55" t="n"/>
      <c r="H14" s="55" t="n"/>
    </row>
    <row r="15">
      <c r="A15" s="55" t="n"/>
      <c r="B15" s="55" t="n"/>
      <c r="C15" s="55" t="n"/>
      <c r="D15" s="55" t="n"/>
      <c r="E15" s="55" t="n"/>
      <c r="F15" s="55" t="n"/>
      <c r="G15" s="55" t="n"/>
      <c r="H15" s="55" t="n"/>
    </row>
    <row r="16">
      <c r="A16" s="55" t="n"/>
      <c r="B16" s="55" t="n"/>
      <c r="C16" s="55" t="n"/>
      <c r="D16" s="55" t="n"/>
      <c r="E16" s="55" t="n"/>
      <c r="F16" s="55" t="n"/>
      <c r="G16" s="55" t="n"/>
      <c r="H16" s="55" t="n"/>
    </row>
    <row r="17">
      <c r="A17" s="55" t="n"/>
      <c r="B17" s="55" t="n"/>
      <c r="C17" s="55" t="n"/>
      <c r="D17" s="55" t="n"/>
      <c r="E17" s="55" t="n"/>
      <c r="F17" s="55" t="n"/>
      <c r="G17" s="55" t="n"/>
      <c r="H17" s="55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</row>
    <row r="19">
      <c r="A19" s="55" t="n"/>
      <c r="B19" s="55" t="n"/>
      <c r="C19" s="55" t="n"/>
      <c r="D19" s="55" t="n"/>
      <c r="E19" s="55" t="n"/>
      <c r="F19" s="55" t="n"/>
      <c r="G19" s="55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</row>
  </sheetData>
  <conditionalFormatting sqref="A2:H5000">
    <cfRule type="expression" priority="1" dxfId="0">
      <formula>$H2="Pago"</formula>
    </cfRule>
    <cfRule type="expression" priority="2" dxfId="0">
      <formula>$H2="Recebido"</formula>
    </cfRule>
    <cfRule type="expression" priority="3" dxfId="1">
      <formula>$H2="A Pagar"</formula>
    </cfRule>
    <cfRule type="expression" priority="4" dxfId="2">
      <formula>$H2="A Receber"</formula>
    </cfRule>
  </conditionalFormatting>
  <dataValidations count="4">
    <dataValidation sqref="A2:A5000" showDropDown="0" showInputMessage="0" showErrorMessage="0" allowBlank="0" type="list">
      <formula1>"Receita,Despesa"</formula1>
    </dataValidation>
    <dataValidation sqref="H2:H5000" showDropDown="0" showInputMessage="0" showErrorMessage="0" allowBlank="0" type="list">
      <formula1>"A Pagar,Pago,A Receber,Recebido"</formula1>
    </dataValidation>
    <dataValidation sqref="F2:F5000" showDropDown="0" showInputMessage="0" showErrorMessage="0" allowBlank="0" type="list">
      <formula1>"1,2"</formula1>
    </dataValidation>
    <dataValidation sqref="E2:E5000" showDropDown="0" showInputMessage="0" showErrorMessage="0" allowBlank="0" type="list">
      <formula1>"Will,Sá,Ambos"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56" t="inlineStr">
        <is>
          <t>💳  CONTROLE DE CARTÕES</t>
        </is>
      </c>
    </row>
    <row r="2" ht="22" customHeight="1">
      <c r="A2" s="21" t="inlineStr">
        <is>
          <t>Titular</t>
        </is>
      </c>
      <c r="B2" s="21" t="inlineStr">
        <is>
          <t>Cartão</t>
        </is>
      </c>
      <c r="C2" s="21" t="inlineStr">
        <is>
          <t>Vencimento</t>
        </is>
      </c>
      <c r="D2" s="21" t="inlineStr">
        <is>
          <t>Limite</t>
        </is>
      </c>
      <c r="E2" s="21" t="inlineStr">
        <is>
          <t>Fatura Atual</t>
        </is>
      </c>
      <c r="F2" s="21" t="inlineStr">
        <is>
          <t>Disponível</t>
        </is>
      </c>
    </row>
    <row r="3">
      <c r="A3" s="17" t="inlineStr">
        <is>
          <t>Will</t>
        </is>
      </c>
      <c r="B3" s="17" t="inlineStr">
        <is>
          <t>Nubank</t>
        </is>
      </c>
      <c r="C3" s="17" t="n">
        <v>5</v>
      </c>
      <c r="D3" s="57" t="n">
        <v>15000</v>
      </c>
      <c r="E3" s="57" t="n">
        <v>0</v>
      </c>
      <c r="F3" s="57">
        <f>D3-E3</f>
        <v/>
      </c>
    </row>
    <row r="4">
      <c r="A4" s="17" t="inlineStr">
        <is>
          <t>Sá</t>
        </is>
      </c>
      <c r="B4" s="17" t="inlineStr">
        <is>
          <t>Itaú</t>
        </is>
      </c>
      <c r="C4" s="17" t="n">
        <v>10</v>
      </c>
      <c r="D4" s="57" t="n">
        <v>8000</v>
      </c>
      <c r="E4" s="57" t="n">
        <v>0</v>
      </c>
      <c r="F4" s="57">
        <f>D4-E4</f>
        <v/>
      </c>
    </row>
    <row r="5">
      <c r="A5" s="17" t="inlineStr">
        <is>
          <t>Ambos</t>
        </is>
      </c>
      <c r="B5" s="17" t="inlineStr">
        <is>
          <t>Inter</t>
        </is>
      </c>
      <c r="C5" s="17" t="n">
        <v>15</v>
      </c>
      <c r="D5" s="57" t="n">
        <v>12000</v>
      </c>
      <c r="E5" s="57" t="n">
        <v>0</v>
      </c>
      <c r="F5" s="57">
        <f>D5-E5</f>
        <v/>
      </c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5A5A6"/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 ht="30" customHeight="1">
      <c r="A1" s="58" t="inlineStr">
        <is>
          <t>⚙️  CATEGORIAS</t>
        </is>
      </c>
    </row>
    <row r="2" ht="22" customHeight="1">
      <c r="A2" s="21" t="inlineStr">
        <is>
          <t>Categoria</t>
        </is>
      </c>
      <c r="B2" s="8" t="n"/>
    </row>
    <row r="3">
      <c r="A3" s="59" t="inlineStr">
        <is>
          <t>Salário</t>
        </is>
      </c>
      <c r="B3" s="8" t="n"/>
    </row>
    <row r="4">
      <c r="A4" s="52" t="inlineStr">
        <is>
          <t>Renda Extra</t>
        </is>
      </c>
      <c r="B4" s="8" t="n"/>
    </row>
    <row r="5">
      <c r="A5" s="59" t="inlineStr">
        <is>
          <t>13° Salário</t>
        </is>
      </c>
      <c r="B5" s="8" t="n"/>
    </row>
    <row r="6">
      <c r="A6" s="52" t="inlineStr">
        <is>
          <t>PLR</t>
        </is>
      </c>
      <c r="B6" s="8" t="n"/>
    </row>
    <row r="7">
      <c r="A7" s="59" t="inlineStr">
        <is>
          <t>Férias</t>
        </is>
      </c>
      <c r="B7" s="8" t="n"/>
    </row>
    <row r="8">
      <c r="A8" s="52" t="inlineStr">
        <is>
          <t>Aluguel</t>
        </is>
      </c>
      <c r="B8" s="8" t="n"/>
    </row>
    <row r="9">
      <c r="A9" s="59" t="inlineStr">
        <is>
          <t>Alimentação</t>
        </is>
      </c>
      <c r="B9" s="8" t="n"/>
    </row>
    <row r="10">
      <c r="A10" s="52" t="inlineStr">
        <is>
          <t>Transporte</t>
        </is>
      </c>
      <c r="B10" s="8" t="n"/>
    </row>
    <row r="11">
      <c r="A11" s="59" t="inlineStr">
        <is>
          <t>Saúde</t>
        </is>
      </c>
      <c r="B11" s="8" t="n"/>
    </row>
    <row r="12">
      <c r="A12" s="52" t="inlineStr">
        <is>
          <t>Lazer</t>
        </is>
      </c>
      <c r="B12" s="8" t="n"/>
    </row>
    <row r="13">
      <c r="A13" s="59" t="inlineStr">
        <is>
          <t>Cartões</t>
        </is>
      </c>
      <c r="B13" s="8" t="n"/>
    </row>
    <row r="14">
      <c r="A14" s="52" t="inlineStr">
        <is>
          <t>Celular</t>
        </is>
      </c>
      <c r="B14" s="8" t="n"/>
    </row>
    <row r="15">
      <c r="A15" s="59" t="inlineStr">
        <is>
          <t>Internet</t>
        </is>
      </c>
      <c r="B15" s="8" t="n"/>
    </row>
    <row r="16">
      <c r="A16" s="52" t="inlineStr">
        <is>
          <t>Luz</t>
        </is>
      </c>
      <c r="B16" s="8" t="n"/>
    </row>
    <row r="17">
      <c r="A17" s="59" t="inlineStr">
        <is>
          <t>Água</t>
        </is>
      </c>
      <c r="B17" s="8" t="n"/>
    </row>
    <row r="18">
      <c r="A18" s="52" t="inlineStr">
        <is>
          <t>Outros</t>
        </is>
      </c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2026-07-06T13:38:31Z</dcterms:created>
  <dcterms:modified xsi:type="dcterms:W3CDTF">2026-07-06T13:38:32Z</dcterms:modified>
</cp:coreProperties>
</file>