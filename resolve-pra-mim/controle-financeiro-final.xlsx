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shboard" sheetId="1" state="visible" r:id="rId1"/>
    <sheet name="Lancamentos" sheetId="2" state="visible" r:id="rId2"/>
    <sheet name="Investimentos" sheetId="3" state="visible" r:id="rId3"/>
    <sheet name="Cartoes" sheetId="4" state="hidden" r:id="rId4"/>
    <sheet name="Config" sheetId="5" state="hidden" r:id="rId5"/>
    <sheet name="Planejamento Viagem" sheetId="6" state="visible" r:id="rId6"/>
    <sheet name="Compras &amp; Metas" sheetId="7" state="visible" r:id="rId7"/>
  </sheets>
  <definedNames>
    <definedName name="_xlnm._FilterDatabase" localSheetId="1" hidden="1">'Lancamentos'!$A$1:$H$23</definedName>
    <definedName name="_xlnm._FilterDatabase" localSheetId="3" hidden="1">'Cartoes'!$A$1:$E$1</definedName>
  </definedNames>
  <calcPr calcId="124519" fullCalcOnLoad="1"/>
</workbook>
</file>

<file path=xl/styles.xml><?xml version="1.0" encoding="utf-8"?>
<styleSheet xmlns="http://schemas.openxmlformats.org/spreadsheetml/2006/main">
  <numFmts count="12">
    <numFmt numFmtId="164" formatCode="R$ #,##0.00"/>
    <numFmt numFmtId="165" formatCode="0.0%"/>
    <numFmt numFmtId="166" formatCode="dd/MM/yyyy"/>
    <numFmt numFmtId="167" formatCode="[$R$ -416]#,##0.00"/>
    <numFmt numFmtId="168" formatCode="0.000"/>
    <numFmt numFmtId="169" formatCode="dd/MM/yyyy HH:mm"/>
    <numFmt numFmtId="170" formatCode="dd/mm/yyyy"/>
    <numFmt numFmtId="171" formatCode="0.0"/>
    <numFmt numFmtId="172" formatCode="0 &quot;meses&quot;"/>
    <numFmt numFmtId="173" formatCode="MMM/YYYY"/>
    <numFmt numFmtId="174" formatCode="0&quot;%&quot;"/>
    <numFmt numFmtId="175" formatCode="0.00&quot;%&quot;"/>
  </numFmts>
  <fonts count="81">
    <font>
      <name val="Calibri"/>
      <color theme="1"/>
      <sz val="11"/>
      <scheme val="minor"/>
    </font>
    <font>
      <name val="Calibri"/>
      <b val="1"/>
      <color rgb="FFFFFFFF"/>
      <sz val="16"/>
      <scheme val="minor"/>
    </font>
    <font/>
    <font>
      <name val="Calibri"/>
      <color rgb="FFFFFFFF"/>
      <scheme val="minor"/>
    </font>
    <font>
      <name val="Calibri"/>
      <b val="1"/>
      <color theme="1"/>
      <scheme val="minor"/>
    </font>
    <font>
      <name val="Calibri"/>
      <b val="1"/>
      <color theme="1"/>
      <sz val="13"/>
      <scheme val="minor"/>
    </font>
    <font>
      <name val="Calibri"/>
      <i val="1"/>
      <color rgb="FF2980B9"/>
      <sz val="12"/>
      <scheme val="minor"/>
    </font>
    <font>
      <name val="Calibri"/>
      <b val="1"/>
      <color rgb="FF1B2A4A"/>
      <sz val="22"/>
      <scheme val="minor"/>
    </font>
    <font>
      <name val="Calibri"/>
      <b val="1"/>
      <i val="1"/>
      <color rgb="FF000000"/>
      <sz val="10"/>
      <scheme val="minor"/>
    </font>
    <font>
      <name val="Calibri"/>
      <color theme="1"/>
      <scheme val="minor"/>
    </font>
    <font>
      <name val="Calibri"/>
      <b val="1"/>
      <color rgb="FF27AE60"/>
      <sz val="11"/>
      <scheme val="minor"/>
    </font>
    <font>
      <name val="Calibri"/>
      <b val="1"/>
      <color rgb="FF27AE60"/>
      <sz val="16"/>
      <scheme val="minor"/>
    </font>
    <font>
      <name val="Calibri"/>
      <b val="1"/>
      <color rgb="FFE74C3C"/>
      <sz val="11"/>
      <scheme val="minor"/>
    </font>
    <font>
      <name val="Calibri"/>
      <b val="1"/>
      <color rgb="FFE74C3C"/>
      <sz val="16"/>
      <scheme val="minor"/>
    </font>
    <font>
      <name val="Calibri"/>
      <b val="1"/>
      <color rgb="FF2980B9"/>
      <sz val="11"/>
      <scheme val="minor"/>
    </font>
    <font>
      <name val="Calibri"/>
      <b val="1"/>
      <color rgb="FF2980B9"/>
      <sz val="16"/>
      <scheme val="minor"/>
    </font>
    <font>
      <name val="Calibri"/>
      <b val="1"/>
      <color rgb="FFFFFFFF"/>
      <sz val="11"/>
      <scheme val="minor"/>
    </font>
    <font>
      <name val="Calibri"/>
      <b val="1"/>
      <color rgb="FF34495E"/>
      <sz val="9"/>
      <scheme val="minor"/>
    </font>
    <font>
      <name val="Calibri"/>
      <color theme="1"/>
      <sz val="9"/>
      <scheme val="minor"/>
    </font>
    <font>
      <name val="Calibri"/>
      <color rgb="FF34495E"/>
      <sz val="9"/>
      <scheme val="minor"/>
    </font>
    <font>
      <name val="Calibri"/>
      <b val="1"/>
      <color rgb="FFB7950B"/>
      <sz val="10"/>
      <scheme val="minor"/>
    </font>
    <font>
      <name val="Calibri"/>
      <b val="1"/>
      <color rgb="FFB7950B"/>
      <sz val="11"/>
      <scheme val="minor"/>
    </font>
    <font>
      <name val="Calibri"/>
      <color theme="1"/>
      <sz val="10"/>
      <scheme val="minor"/>
    </font>
    <font>
      <name val="Calibri"/>
      <b val="1"/>
      <color rgb="FF1E8449"/>
      <sz val="10"/>
      <scheme val="minor"/>
    </font>
    <font>
      <name val="Calibri"/>
      <b val="1"/>
      <color rgb="FF1E8449"/>
      <sz val="11"/>
      <scheme val="minor"/>
    </font>
    <font>
      <name val="Calibri"/>
      <b val="1"/>
      <color rgb="FFE74C3C"/>
      <sz val="10"/>
      <scheme val="minor"/>
    </font>
    <font>
      <name val="Calibri"/>
      <b val="1"/>
      <color rgb="FF2980B9"/>
      <sz val="10"/>
      <scheme val="minor"/>
    </font>
    <font>
      <name val="Calibri"/>
      <b val="1"/>
      <color rgb="FF1B2A4A"/>
      <sz val="10"/>
      <scheme val="minor"/>
    </font>
    <font>
      <name val="Calibri"/>
      <b val="1"/>
      <color rgb="FF1B2A4A"/>
      <sz val="11"/>
      <scheme val="minor"/>
    </font>
    <font>
      <name val="Calibri"/>
      <b val="1"/>
      <color rgb="FF1B2A4A"/>
      <sz val="9"/>
      <scheme val="minor"/>
    </font>
    <font>
      <name val="Calibri"/>
      <b val="1"/>
      <color rgb="FFFFFFFF"/>
      <sz val="9"/>
      <scheme val="minor"/>
    </font>
    <font>
      <name val="Calibri"/>
      <b val="1"/>
      <color rgb="FF000000"/>
      <sz val="14"/>
    </font>
    <font>
      <name val="Calibri"/>
      <color theme="1"/>
      <sz val="11"/>
    </font>
    <font>
      <name val="Calibri"/>
      <color rgb="FF1565C0"/>
      <scheme val="minor"/>
    </font>
    <font>
      <name val="Calibri"/>
      <b val="1"/>
      <color rgb="FFFFFFFF"/>
      <scheme val="minor"/>
    </font>
    <font>
      <name val="Segoe UI"/>
      <i val="1"/>
      <color rgb="005F6368"/>
      <sz val="8"/>
    </font>
    <font>
      <name val="Segoe UI"/>
      <b val="1"/>
      <color rgb="00FFFFFF"/>
      <sz val="9"/>
    </font>
    <font>
      <name val="Segoe UI"/>
      <b val="1"/>
      <color rgb="00F39C12"/>
      <sz val="12"/>
    </font>
    <font>
      <name val="Segoe UI"/>
      <b val="1"/>
      <color rgb="00FFFFFF"/>
      <sz val="15"/>
    </font>
    <font>
      <name val="Segoe UI"/>
      <b val="1"/>
      <color rgb="00FFFFFF"/>
      <sz val="11"/>
    </font>
    <font>
      <name val="Segoe UI"/>
      <b val="1"/>
      <color rgb="001B2A4A"/>
      <sz val="10"/>
    </font>
    <font>
      <name val="Segoe UI"/>
      <b val="1"/>
      <color rgb="002980B9"/>
      <sz val="11"/>
    </font>
    <font>
      <name val="Segoe UI"/>
      <i val="1"/>
      <color rgb="00888888"/>
      <sz val="8"/>
    </font>
    <font>
      <name val="Segoe UI"/>
      <i val="1"/>
      <color rgb="00AAAAAA"/>
      <sz val="8"/>
    </font>
    <font>
      <name val="Segoe UI"/>
      <b val="1"/>
      <color rgb="0016A085"/>
      <sz val="9"/>
    </font>
    <font>
      <name val="Segoe UI"/>
      <color rgb="001B2A4A"/>
      <sz val="10"/>
    </font>
    <font>
      <name val="Segoe UI"/>
      <color rgb="002980B9"/>
      <sz val="11"/>
    </font>
    <font>
      <name val="Segoe UI"/>
      <b val="1"/>
      <color rgb="00CC6600"/>
      <sz val="10"/>
    </font>
    <font>
      <name val="Segoe UI"/>
      <b val="1"/>
      <color rgb="00E67E22"/>
      <sz val="11"/>
    </font>
    <font>
      <name val="Segoe UI"/>
      <i val="1"/>
      <color rgb="00E67E22"/>
      <sz val="8"/>
    </font>
    <font>
      <name val="Segoe UI"/>
      <color rgb="00888888"/>
      <sz val="10"/>
    </font>
    <font>
      <name val="Segoe UI"/>
      <b val="1"/>
      <color rgb="002980B9"/>
      <sz val="10"/>
    </font>
    <font>
      <name val="Segoe UI"/>
      <b val="1"/>
      <color rgb="002980B9"/>
      <sz val="12"/>
    </font>
    <font>
      <name val="Segoe UI"/>
      <color rgb="0027AE60"/>
      <sz val="10"/>
    </font>
    <font>
      <name val="Segoe UI"/>
      <b val="1"/>
      <color rgb="001E8449"/>
      <sz val="10"/>
    </font>
    <font>
      <name val="Segoe UI"/>
      <b val="1"/>
      <color rgb="0027AE60"/>
      <sz val="11"/>
    </font>
    <font>
      <name val="Segoe UI"/>
      <b val="1"/>
      <color rgb="008E44AD"/>
      <sz val="10"/>
    </font>
    <font>
      <name val="Segoe UI"/>
      <b val="1"/>
      <color rgb="008E44AD"/>
      <sz val="12"/>
    </font>
    <font>
      <name val="Segoe UI"/>
      <b val="1"/>
      <color rgb="00FFFFFF"/>
      <sz val="12"/>
    </font>
    <font>
      <name val="Segoe UI"/>
      <b val="1"/>
      <color rgb="00E67E22"/>
      <sz val="10"/>
    </font>
    <font>
      <name val="Segoe UI"/>
      <b val="1"/>
      <color rgb="0027AE60"/>
      <sz val="10"/>
    </font>
    <font>
      <name val="Segoe UI"/>
      <b val="1"/>
      <color rgb="008E44AD"/>
      <sz val="11"/>
    </font>
    <font>
      <name val="Segoe UI"/>
      <b val="1"/>
      <color rgb="00F1C40F"/>
      <sz val="16"/>
    </font>
    <font>
      <name val="Segoe UI"/>
      <b val="1"/>
      <color rgb="00FFFFFF"/>
      <sz val="10"/>
    </font>
    <font>
      <name val="Segoe UI"/>
      <b val="1"/>
      <color rgb="0027AE60"/>
      <sz val="12"/>
    </font>
    <font>
      <name val="Segoe UI"/>
      <color rgb="001A5276"/>
      <sz val="10"/>
    </font>
    <font>
      <name val="Segoe UI"/>
      <b val="1"/>
      <color rgb="00E74C3C"/>
      <sz val="12"/>
    </font>
    <font>
      <name val="Segoe UI"/>
      <b val="1"/>
      <color rgb="002E86C1"/>
      <sz val="12"/>
    </font>
    <font>
      <name val="Segoe UI"/>
      <b val="1"/>
      <color rgb="001A5276"/>
      <sz val="12"/>
    </font>
    <font>
      <name val="Segoe UI"/>
      <b val="1"/>
      <color rgb="001A5276"/>
      <sz val="10"/>
    </font>
    <font>
      <name val="Segoe UI"/>
      <b val="1"/>
      <color rgb="0016A085"/>
      <sz val="14"/>
    </font>
    <font>
      <name val="Segoe UI"/>
      <i val="1"/>
      <color rgb="00888888"/>
      <sz val="10"/>
    </font>
    <font>
      <name val="Segoe UI"/>
      <b val="1"/>
      <color rgb="002E86C1"/>
      <sz val="10"/>
    </font>
    <font>
      <name val="Segoe UI"/>
      <b val="1"/>
      <color rgb="00AAAAAA"/>
      <sz val="9"/>
    </font>
    <font>
      <name val="Segoe UI"/>
      <color rgb="00E74C3C"/>
      <sz val="9"/>
    </font>
    <font>
      <name val="Segoe UI"/>
      <color rgb="002980B9"/>
      <sz val="9"/>
    </font>
    <font>
      <name val="Segoe UI"/>
      <i val="1"/>
      <color rgb="00888888"/>
      <sz val="9"/>
    </font>
    <font>
      <name val="Segoe UI"/>
      <color rgb="002980B9"/>
      <sz val="10"/>
    </font>
    <font>
      <name val="Segoe UI"/>
      <b val="1"/>
      <color rgb="00E74C3C"/>
      <sz val="11"/>
    </font>
    <font>
      <name val="Segoe UI"/>
      <b val="1"/>
      <color rgb="00E67E22"/>
      <sz val="12"/>
    </font>
    <font>
      <name val="Segoe UI"/>
      <i val="1"/>
      <color rgb="007F8C8D"/>
      <sz val="8"/>
    </font>
  </fonts>
  <fills count="38">
    <fill>
      <patternFill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E3F2FD"/>
        <bgColor rgb="FFE3F2FD"/>
      </patternFill>
    </fill>
    <fill>
      <patternFill patternType="solid">
        <fgColor rgb="FFF0F2F5"/>
        <bgColor rgb="FFF0F2F5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34495E"/>
        <bgColor rgb="FF34495E"/>
      </patternFill>
    </fill>
    <fill>
      <patternFill patternType="solid">
        <fgColor rgb="FFFFFDE7"/>
        <bgColor rgb="FFFFFDE7"/>
      </patternFill>
    </fill>
    <fill>
      <patternFill patternType="solid">
        <fgColor rgb="FFF1C40F"/>
        <bgColor rgb="FFF1C40F"/>
      </patternFill>
    </fill>
    <fill>
      <patternFill patternType="solid">
        <fgColor rgb="FF27AE60"/>
        <bgColor rgb="FF27AE60"/>
      </patternFill>
    </fill>
    <fill>
      <patternFill patternType="solid">
        <fgColor rgb="FFE74C3C"/>
        <bgColor rgb="FFE74C3C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001B2A4A"/>
      </patternFill>
    </fill>
    <fill>
      <patternFill patternType="solid">
        <fgColor rgb="0016A085"/>
      </patternFill>
    </fill>
    <fill>
      <patternFill patternType="solid">
        <fgColor rgb="00F5F7FA"/>
      </patternFill>
    </fill>
    <fill>
      <patternFill patternType="solid">
        <fgColor rgb="00FFFFFF"/>
      </patternFill>
    </fill>
    <fill>
      <patternFill patternType="solid">
        <fgColor rgb="00E67E22"/>
      </patternFill>
    </fill>
    <fill>
      <patternFill patternType="solid">
        <fgColor rgb="00FFF8F0"/>
      </patternFill>
    </fill>
    <fill>
      <patternFill patternType="solid">
        <fgColor rgb="00FFF3E0"/>
      </patternFill>
    </fill>
    <fill>
      <patternFill patternType="solid">
        <fgColor rgb="002980B9"/>
      </patternFill>
    </fill>
    <fill>
      <patternFill patternType="solid">
        <fgColor rgb="002C3E50"/>
      </patternFill>
    </fill>
    <fill>
      <patternFill patternType="solid">
        <fgColor rgb="00D6EAF8"/>
      </patternFill>
    </fill>
    <fill>
      <patternFill patternType="solid">
        <fgColor rgb="0027AE60"/>
      </patternFill>
    </fill>
    <fill>
      <patternFill patternType="solid">
        <fgColor rgb="00D5F5E3"/>
      </patternFill>
    </fill>
    <fill>
      <patternFill patternType="solid">
        <fgColor rgb="008E44AD"/>
      </patternFill>
    </fill>
    <fill>
      <patternFill patternType="solid">
        <fgColor rgb="00F9F0FF"/>
      </patternFill>
    </fill>
    <fill>
      <patternFill patternType="solid">
        <fgColor rgb="00E8DAEF"/>
      </patternFill>
    </fill>
    <fill>
      <patternFill patternType="solid">
        <fgColor rgb="00EBF5FB"/>
      </patternFill>
    </fill>
    <fill>
      <patternFill patternType="solid">
        <fgColor rgb="00E8E8E8"/>
      </patternFill>
    </fill>
    <fill>
      <patternFill patternType="solid">
        <fgColor rgb="002E86C1"/>
      </patternFill>
    </fill>
    <fill>
      <patternFill patternType="solid">
        <fgColor rgb="001A5276"/>
      </patternFill>
    </fill>
    <fill>
      <patternFill patternType="solid">
        <fgColor rgb="00C0392B"/>
      </patternFill>
    </fill>
    <fill>
      <patternFill patternType="solid">
        <fgColor rgb="00FDF2F2"/>
      </patternFill>
    </fill>
    <fill>
      <patternFill patternType="solid">
        <fgColor rgb="00FDEDEC"/>
      </patternFill>
    </fill>
    <fill>
      <patternFill patternType="solid">
        <fgColor rgb="00FFF8E1"/>
      </patternFill>
    </fill>
    <fill>
      <patternFill patternType="solid">
        <fgColor rgb="00F8F9FA"/>
      </patternFill>
    </fill>
  </fills>
  <borders count="44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right style="medium">
        <color rgb="FF000000"/>
      </right>
    </border>
    <border>
      <left style="medium">
        <color rgb="FF000000"/>
      </left>
      <right style="thin">
        <color rgb="FFD5D8DC"/>
      </right>
      <top style="thin">
        <color rgb="FFD5D8DC"/>
      </top>
      <bottom style="thin">
        <color rgb="FFD5D8DC"/>
      </bottom>
    </border>
    <border>
      <left style="thin">
        <color rgb="FFD5D8DC"/>
      </left>
      <top style="thin">
        <color rgb="FFD5D8DC"/>
      </top>
      <bottom style="thin">
        <color rgb="FFD5D8DC"/>
      </bottom>
    </border>
    <border>
      <top style="thin">
        <color rgb="FFD5D8DC"/>
      </top>
      <bottom style="thin">
        <color rgb="FFD5D8DC"/>
      </bottom>
    </border>
    <border>
      <right style="thin">
        <color rgb="FFD5D8DC"/>
      </right>
      <top style="thin">
        <color rgb="FFD5D8DC"/>
      </top>
      <bottom style="thin">
        <color rgb="FFD5D8DC"/>
      </bottom>
    </border>
    <border>
      <left style="thin">
        <color rgb="FFD5D8DC"/>
      </left>
      <right style="medium">
        <color rgb="FF000000"/>
      </right>
      <top style="thin">
        <color rgb="FFD5D8DC"/>
      </top>
      <bottom style="thin">
        <color rgb="FFD5D8DC"/>
      </bottom>
    </border>
    <border>
      <left style="medium">
        <color rgb="FF000000"/>
      </left>
      <top/>
      <bottom/>
    </border>
    <border>
      <right/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bottom style="medium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CCCCCC"/>
      </left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</border>
    <border>
      <right style="thin">
        <color rgb="FFCCCCCC"/>
      </right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/>
      <right/>
      <top/>
      <bottom/>
    </border>
    <border>
      <left style="medium">
        <color rgb="FF000000"/>
      </left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top style="thin">
        <color rgb="FFCCCCCC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top style="thin">
        <color rgb="FFD5D8DC"/>
      </top>
    </border>
    <border>
      <right style="thin">
        <color rgb="FFD5D8DC"/>
      </right>
      <top style="thin">
        <color rgb="FFD5D8DC"/>
      </top>
    </border>
  </borders>
  <cellStyleXfs count="1">
    <xf numFmtId="0" fontId="0" fillId="0" borderId="0"/>
  </cellStyleXfs>
  <cellXfs count="24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4" pivotButton="0" quotePrefix="0" xfId="0"/>
    <xf numFmtId="0" fontId="5" fillId="3" borderId="5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6" applyAlignment="1" pivotButton="0" quotePrefix="0" xfId="0">
      <alignment horizontal="center" vertical="center"/>
    </xf>
    <xf numFmtId="0" fontId="2" fillId="0" borderId="7" pivotButton="0" quotePrefix="0" xfId="0"/>
    <xf numFmtId="0" fontId="2" fillId="0" borderId="8" pivotButton="0" quotePrefix="0" xfId="0"/>
    <xf numFmtId="0" fontId="5" fillId="3" borderId="5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2" fillId="0" borderId="9" pivotButton="0" quotePrefix="0" xfId="0"/>
    <xf numFmtId="0" fontId="9" fillId="0" borderId="4" pivotButton="0" quotePrefix="0" xfId="0"/>
    <xf numFmtId="0" fontId="9" fillId="0" borderId="9" pivotButton="0" quotePrefix="0" xfId="0"/>
    <xf numFmtId="0" fontId="10" fillId="5" borderId="10" applyAlignment="1" pivotButton="0" quotePrefix="0" xfId="0">
      <alignment vertical="center"/>
    </xf>
    <xf numFmtId="164" fontId="11" fillId="5" borderId="11" applyAlignment="1" pivotButton="0" quotePrefix="0" xfId="0">
      <alignment horizontal="right" vertical="center"/>
    </xf>
    <xf numFmtId="0" fontId="2" fillId="0" borderId="12" pivotButton="0" quotePrefix="0" xfId="0"/>
    <xf numFmtId="0" fontId="2" fillId="0" borderId="13" pivotButton="0" quotePrefix="0" xfId="0"/>
    <xf numFmtId="0" fontId="12" fillId="6" borderId="5" applyAlignment="1" pivotButton="0" quotePrefix="0" xfId="0">
      <alignment vertical="center"/>
    </xf>
    <xf numFmtId="164" fontId="13" fillId="6" borderId="11" applyAlignment="1" pivotButton="0" quotePrefix="0" xfId="0">
      <alignment horizontal="right" vertical="center"/>
    </xf>
    <xf numFmtId="0" fontId="14" fillId="3" borderId="5" applyAlignment="1" pivotButton="0" quotePrefix="0" xfId="0">
      <alignment vertical="center"/>
    </xf>
    <xf numFmtId="164" fontId="15" fillId="3" borderId="14" applyAlignment="1" pivotButton="0" quotePrefix="0" xfId="0">
      <alignment horizontal="right" vertical="center"/>
    </xf>
    <xf numFmtId="0" fontId="16" fillId="7" borderId="15" applyAlignment="1" pivotButton="0" quotePrefix="0" xfId="0">
      <alignment horizontal="center" vertical="center"/>
    </xf>
    <xf numFmtId="0" fontId="2" fillId="0" borderId="16" pivotButton="0" quotePrefix="0" xfId="0"/>
    <xf numFmtId="0" fontId="16" fillId="7" borderId="6" applyAlignment="1" pivotButton="0" quotePrefix="0" xfId="0">
      <alignment horizontal="center" vertical="center"/>
    </xf>
    <xf numFmtId="0" fontId="17" fillId="4" borderId="10" applyAlignment="1" pivotButton="0" quotePrefix="0" xfId="0">
      <alignment horizontal="center"/>
    </xf>
    <xf numFmtId="0" fontId="17" fillId="4" borderId="5" applyAlignment="1" pivotButton="0" quotePrefix="0" xfId="0">
      <alignment horizontal="center"/>
    </xf>
    <xf numFmtId="0" fontId="18" fillId="0" borderId="5" pivotButton="0" quotePrefix="0" xfId="0"/>
    <xf numFmtId="4" fontId="18" fillId="0" borderId="5" applyAlignment="1" pivotButton="0" quotePrefix="0" xfId="0">
      <alignment horizontal="right"/>
    </xf>
    <xf numFmtId="9" fontId="19" fillId="0" borderId="5" applyAlignment="1" pivotButton="0" quotePrefix="0" xfId="0">
      <alignment horizontal="center"/>
    </xf>
    <xf numFmtId="0" fontId="20" fillId="8" borderId="5" applyAlignment="1" pivotButton="0" quotePrefix="0" xfId="0">
      <alignment vertical="center"/>
    </xf>
    <xf numFmtId="4" fontId="21" fillId="8" borderId="14" applyAlignment="1" pivotButton="0" quotePrefix="0" xfId="0">
      <alignment horizontal="right" vertical="center"/>
    </xf>
    <xf numFmtId="0" fontId="22" fillId="0" borderId="10" pivotButton="0" quotePrefix="0" xfId="0"/>
    <xf numFmtId="4" fontId="22" fillId="0" borderId="5" applyAlignment="1" pivotButton="0" quotePrefix="0" xfId="0">
      <alignment horizontal="right"/>
    </xf>
    <xf numFmtId="0" fontId="23" fillId="5" borderId="5" applyAlignment="1" pivotButton="0" quotePrefix="0" xfId="0">
      <alignment vertical="center"/>
    </xf>
    <xf numFmtId="4" fontId="24" fillId="5" borderId="14" applyAlignment="1" pivotButton="0" quotePrefix="0" xfId="0">
      <alignment horizontal="right" vertical="center"/>
    </xf>
    <xf numFmtId="0" fontId="18" fillId="0" borderId="5" pivotButton="0" quotePrefix="0" xfId="0"/>
    <xf numFmtId="0" fontId="25" fillId="6" borderId="5" applyAlignment="1" pivotButton="0" quotePrefix="0" xfId="0">
      <alignment vertical="center"/>
    </xf>
    <xf numFmtId="4" fontId="12" fillId="6" borderId="14" applyAlignment="1" pivotButton="0" quotePrefix="0" xfId="0">
      <alignment horizontal="right" vertical="center"/>
    </xf>
    <xf numFmtId="0" fontId="23" fillId="5" borderId="10" pivotButton="0" quotePrefix="0" xfId="0"/>
    <xf numFmtId="4" fontId="23" fillId="5" borderId="5" applyAlignment="1" pivotButton="0" quotePrefix="0" xfId="0">
      <alignment horizontal="right"/>
    </xf>
    <xf numFmtId="0" fontId="25" fillId="6" borderId="10" pivotButton="0" quotePrefix="0" xfId="0"/>
    <xf numFmtId="4" fontId="25" fillId="6" borderId="5" applyAlignment="1" pivotButton="0" quotePrefix="0" xfId="0">
      <alignment horizontal="right"/>
    </xf>
    <xf numFmtId="0" fontId="26" fillId="3" borderId="5" applyAlignment="1" pivotButton="0" quotePrefix="0" xfId="0">
      <alignment vertical="center"/>
    </xf>
    <xf numFmtId="165" fontId="14" fillId="3" borderId="14" applyAlignment="1" pivotButton="0" quotePrefix="0" xfId="0">
      <alignment horizontal="right" vertical="center"/>
    </xf>
    <xf numFmtId="0" fontId="26" fillId="3" borderId="10" pivotButton="0" quotePrefix="0" xfId="0"/>
    <xf numFmtId="4" fontId="26" fillId="3" borderId="5" applyAlignment="1" pivotButton="0" quotePrefix="0" xfId="0">
      <alignment horizontal="right"/>
    </xf>
    <xf numFmtId="0" fontId="27" fillId="4" borderId="5" applyAlignment="1" pivotButton="0" quotePrefix="0" xfId="0">
      <alignment vertical="center"/>
    </xf>
    <xf numFmtId="49" fontId="28" fillId="4" borderId="14" applyAlignment="1" pivotButton="0" quotePrefix="0" xfId="0">
      <alignment horizontal="right" vertical="center"/>
    </xf>
    <xf numFmtId="1" fontId="28" fillId="4" borderId="14" applyAlignment="1" pivotButton="0" quotePrefix="0" xfId="0">
      <alignment horizontal="right" vertical="center"/>
    </xf>
    <xf numFmtId="0" fontId="29" fillId="9" borderId="17" applyAlignment="1" pivotButton="0" quotePrefix="0" xfId="0">
      <alignment horizontal="center" vertical="center"/>
    </xf>
    <xf numFmtId="0" fontId="2" fillId="0" borderId="18" pivotButton="0" quotePrefix="0" xfId="0"/>
    <xf numFmtId="0" fontId="2" fillId="0" borderId="19" pivotButton="0" quotePrefix="0" xfId="0"/>
    <xf numFmtId="0" fontId="9" fillId="0" borderId="20" pivotButton="0" quotePrefix="0" xfId="0"/>
    <xf numFmtId="0" fontId="30" fillId="10" borderId="21" applyAlignment="1" pivotButton="0" quotePrefix="0" xfId="0">
      <alignment horizontal="center" vertical="center"/>
    </xf>
    <xf numFmtId="0" fontId="30" fillId="11" borderId="21" applyAlignment="1" pivotButton="0" quotePrefix="0" xfId="0">
      <alignment horizontal="center" vertical="center"/>
    </xf>
    <xf numFmtId="0" fontId="2" fillId="0" borderId="22" pivotButton="0" quotePrefix="0" xfId="0"/>
    <xf numFmtId="0" fontId="31" fillId="0" borderId="0" applyAlignment="1" pivotButton="0" quotePrefix="0" xfId="0">
      <alignment horizontal="center"/>
    </xf>
    <xf numFmtId="0" fontId="16" fillId="2" borderId="23" applyAlignment="1" pivotButton="0" quotePrefix="0" xfId="0">
      <alignment horizontal="center"/>
    </xf>
    <xf numFmtId="0" fontId="2" fillId="0" borderId="24" pivotButton="0" quotePrefix="0" xfId="0"/>
    <xf numFmtId="0" fontId="4" fillId="12" borderId="25" pivotButton="0" quotePrefix="0" xfId="0"/>
    <xf numFmtId="164" fontId="9" fillId="13" borderId="26" pivotButton="0" quotePrefix="0" xfId="0"/>
    <xf numFmtId="10" fontId="9" fillId="13" borderId="26" pivotButton="0" quotePrefix="0" xfId="0"/>
    <xf numFmtId="0" fontId="9" fillId="13" borderId="26" pivotButton="0" quotePrefix="0" xfId="0"/>
    <xf numFmtId="0" fontId="4" fillId="12" borderId="27" pivotButton="0" quotePrefix="0" xfId="0"/>
    <xf numFmtId="0" fontId="9" fillId="13" borderId="28" pivotButton="0" quotePrefix="0" xfId="0"/>
    <xf numFmtId="0" fontId="16" fillId="2" borderId="5" applyAlignment="1" pivotButton="0" quotePrefix="0" xfId="0">
      <alignment horizontal="center"/>
    </xf>
    <xf numFmtId="166" fontId="16" fillId="2" borderId="5" applyAlignment="1" pivotButton="0" quotePrefix="0" xfId="0">
      <alignment horizontal="center"/>
    </xf>
    <xf numFmtId="0" fontId="32" fillId="0" borderId="29" pivotButton="0" quotePrefix="0" xfId="0"/>
    <xf numFmtId="166" fontId="32" fillId="0" borderId="29" pivotButton="0" quotePrefix="0" xfId="0"/>
    <xf numFmtId="0" fontId="32" fillId="0" borderId="29" pivotButton="0" quotePrefix="0" xfId="0"/>
    <xf numFmtId="4" fontId="32" fillId="0" borderId="29" pivotButton="0" quotePrefix="0" xfId="0"/>
    <xf numFmtId="166" fontId="32" fillId="0" borderId="29" pivotButton="0" quotePrefix="0" xfId="0"/>
    <xf numFmtId="0" fontId="32" fillId="0" borderId="29" pivotButton="0" quotePrefix="0" xfId="0"/>
    <xf numFmtId="166" fontId="32" fillId="0" borderId="29" pivotButton="0" quotePrefix="0" xfId="0"/>
    <xf numFmtId="4" fontId="32" fillId="0" borderId="29" pivotButton="0" quotePrefix="0" xfId="0"/>
    <xf numFmtId="0" fontId="9" fillId="0" borderId="0" pivotButton="0" quotePrefix="0" xfId="0"/>
    <xf numFmtId="166" fontId="9" fillId="0" borderId="0" pivotButton="0" quotePrefix="0" xfId="0"/>
    <xf numFmtId="0" fontId="16" fillId="2" borderId="0" applyAlignment="1" pivotButton="0" quotePrefix="0" xfId="0">
      <alignment vertical="center"/>
    </xf>
    <xf numFmtId="167" fontId="16" fillId="2" borderId="0" applyAlignment="1" pivotButton="0" quotePrefix="0" xfId="0">
      <alignment vertical="center"/>
    </xf>
    <xf numFmtId="3" fontId="9" fillId="0" borderId="0" pivotButton="0" quotePrefix="0" xfId="0"/>
    <xf numFmtId="164" fontId="9" fillId="0" borderId="0" pivotButton="0" quotePrefix="0" xfId="0"/>
    <xf numFmtId="10" fontId="9" fillId="0" borderId="0" pivotButton="0" quotePrefix="0" xfId="0"/>
    <xf numFmtId="168" fontId="9" fillId="0" borderId="0" pivotButton="0" quotePrefix="0" xfId="0"/>
    <xf numFmtId="1" fontId="33" fillId="3" borderId="0" pivotButton="0" quotePrefix="0" xfId="0"/>
    <xf numFmtId="169" fontId="9" fillId="0" borderId="0" pivotButton="0" quotePrefix="0" xfId="0"/>
    <xf numFmtId="3" fontId="9" fillId="0" borderId="0" pivotButton="0" quotePrefix="0" xfId="0"/>
    <xf numFmtId="164" fontId="9" fillId="0" borderId="0" pivotButton="0" quotePrefix="0" xfId="0"/>
    <xf numFmtId="10" fontId="9" fillId="0" borderId="0" pivotButton="0" quotePrefix="0" xfId="0"/>
    <xf numFmtId="168" fontId="9" fillId="0" borderId="0" pivotButton="0" quotePrefix="0" xfId="0"/>
    <xf numFmtId="1" fontId="9" fillId="0" borderId="0" pivotButton="0" quotePrefix="0" xfId="0"/>
    <xf numFmtId="169" fontId="9" fillId="0" borderId="0" pivotButton="0" quotePrefix="0" xfId="0"/>
    <xf numFmtId="167" fontId="9" fillId="0" borderId="0" pivotButton="0" quotePrefix="0" xfId="0"/>
    <xf numFmtId="4" fontId="32" fillId="0" borderId="0" pivotButton="0" quotePrefix="0" xfId="0"/>
    <xf numFmtId="170" fontId="32" fillId="0" borderId="0" pivotButton="0" quotePrefix="0" xfId="0"/>
    <xf numFmtId="0" fontId="34" fillId="7" borderId="30" pivotButton="0" quotePrefix="0" xfId="0"/>
    <xf numFmtId="0" fontId="9" fillId="0" borderId="0" pivotButton="0" quotePrefix="0" xfId="0"/>
    <xf numFmtId="0" fontId="0" fillId="0" borderId="0" pivotButton="0" quotePrefix="0" xfId="0"/>
    <xf numFmtId="0" fontId="1" fillId="2" borderId="38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0" pivotButton="0" quotePrefix="0" xfId="0"/>
    <xf numFmtId="0" fontId="7" fillId="4" borderId="41" applyAlignment="1" pivotButton="0" quotePrefix="0" xfId="0">
      <alignment horizontal="center" vertical="center"/>
    </xf>
    <xf numFmtId="0" fontId="0" fillId="0" borderId="9" pivotButton="0" quotePrefix="0" xfId="0"/>
    <xf numFmtId="0" fontId="35" fillId="0" borderId="9" applyAlignment="1" pivotButton="0" quotePrefix="0" xfId="0">
      <alignment horizontal="center" vertical="center"/>
    </xf>
    <xf numFmtId="0" fontId="36" fillId="14" borderId="0" applyAlignment="1" pivotButton="0" quotePrefix="0" xfId="0">
      <alignment horizontal="right" vertical="center"/>
    </xf>
    <xf numFmtId="0" fontId="37" fillId="14" borderId="0" applyAlignment="1" pivotButton="0" quotePrefix="0" xfId="0">
      <alignment horizontal="center" vertical="center"/>
    </xf>
    <xf numFmtId="0" fontId="0" fillId="14" borderId="0" pivotButton="0" quotePrefix="0" xfId="0"/>
    <xf numFmtId="164" fontId="11" fillId="5" borderId="5" applyAlignment="1" pivotButton="0" quotePrefix="0" xfId="0">
      <alignment horizontal="right" vertical="center"/>
    </xf>
    <xf numFmtId="0" fontId="0" fillId="0" borderId="12" pivotButton="0" quotePrefix="0" xfId="0"/>
    <xf numFmtId="0" fontId="0" fillId="0" borderId="13" pivotButton="0" quotePrefix="0" xfId="0"/>
    <xf numFmtId="164" fontId="13" fillId="6" borderId="5" applyAlignment="1" pivotButton="0" quotePrefix="0" xfId="0">
      <alignment horizontal="right" vertical="center"/>
    </xf>
    <xf numFmtId="0" fontId="16" fillId="7" borderId="31" applyAlignment="1" pivotButton="0" quotePrefix="0" xfId="0">
      <alignment horizontal="center" vertical="center"/>
    </xf>
    <xf numFmtId="0" fontId="16" fillId="7" borderId="30" applyAlignment="1" pivotButton="0" quotePrefix="0" xfId="0">
      <alignment horizontal="center" vertical="center"/>
    </xf>
    <xf numFmtId="0" fontId="16" fillId="7" borderId="41" applyAlignment="1" pivotButton="0" quotePrefix="0" xfId="0">
      <alignment horizontal="center" vertical="center"/>
    </xf>
    <xf numFmtId="0" fontId="29" fillId="9" borderId="32" applyAlignment="1" pivotButton="0" quotePrefix="0" xfId="0">
      <alignment horizontal="center" vertical="center"/>
    </xf>
    <xf numFmtId="0" fontId="0" fillId="0" borderId="20" pivotButton="0" quotePrefix="0" xfId="0"/>
    <xf numFmtId="0" fontId="30" fillId="10" borderId="33" applyAlignment="1" pivotButton="0" quotePrefix="0" xfId="0">
      <alignment horizontal="center" vertical="center"/>
    </xf>
    <xf numFmtId="0" fontId="30" fillId="11" borderId="34" applyAlignment="1" pivotButton="0" quotePrefix="0" xfId="0">
      <alignment horizontal="center" vertical="center"/>
    </xf>
    <xf numFmtId="0" fontId="0" fillId="0" borderId="35" pivotButton="0" quotePrefix="0" xfId="0"/>
    <xf numFmtId="0" fontId="16" fillId="2" borderId="36" applyAlignment="1" pivotButton="0" quotePrefix="0" xfId="0">
      <alignment horizontal="center"/>
    </xf>
    <xf numFmtId="0" fontId="0" fillId="0" borderId="24" pivotButton="0" quotePrefix="0" xfId="0"/>
    <xf numFmtId="0" fontId="38" fillId="15" borderId="0" applyAlignment="1" pivotButton="0" quotePrefix="0" xfId="0">
      <alignment horizontal="center" vertical="center"/>
    </xf>
    <xf numFmtId="0" fontId="39" fillId="14" borderId="0" applyAlignment="1" pivotButton="0" quotePrefix="0" xfId="0">
      <alignment horizontal="center" vertical="center"/>
    </xf>
    <xf numFmtId="0" fontId="40" fillId="16" borderId="0" applyAlignment="1" pivotButton="0" quotePrefix="0" xfId="0">
      <alignment horizontal="left" vertical="center"/>
    </xf>
    <xf numFmtId="0" fontId="41" fillId="17" borderId="0" applyAlignment="1" pivotButton="0" quotePrefix="0" xfId="0">
      <alignment horizontal="center" vertical="center"/>
    </xf>
    <xf numFmtId="0" fontId="42" fillId="16" borderId="0" pivotButton="0" quotePrefix="0" xfId="0"/>
    <xf numFmtId="0" fontId="40" fillId="17" borderId="0" applyAlignment="1" pivotButton="0" quotePrefix="0" xfId="0">
      <alignment horizontal="left" vertical="center"/>
    </xf>
    <xf numFmtId="0" fontId="43" fillId="17" borderId="0" applyAlignment="1" pivotButton="0" quotePrefix="0" xfId="0">
      <alignment horizontal="left" vertical="center"/>
    </xf>
    <xf numFmtId="0" fontId="44" fillId="16" borderId="0" pivotButton="0" quotePrefix="0" xfId="0"/>
    <xf numFmtId="0" fontId="0" fillId="17" borderId="0" pivotButton="0" quotePrefix="0" xfId="0"/>
    <xf numFmtId="4" fontId="41" fillId="17" borderId="0" applyAlignment="1" pivotButton="0" quotePrefix="0" xfId="0">
      <alignment horizontal="center" vertical="center"/>
    </xf>
    <xf numFmtId="0" fontId="0" fillId="16" borderId="0" pivotButton="0" quotePrefix="0" xfId="0"/>
    <xf numFmtId="0" fontId="39" fillId="18" borderId="0" applyAlignment="1" pivotButton="0" quotePrefix="0" xfId="0">
      <alignment horizontal="center" vertical="center"/>
    </xf>
    <xf numFmtId="0" fontId="45" fillId="17" borderId="0" applyAlignment="1" pivotButton="0" quotePrefix="0" xfId="0">
      <alignment horizontal="left" vertical="center"/>
    </xf>
    <xf numFmtId="1" fontId="46" fillId="17" borderId="0" applyAlignment="1" pivotButton="0" quotePrefix="0" xfId="0">
      <alignment horizontal="center" vertical="center"/>
    </xf>
    <xf numFmtId="0" fontId="45" fillId="19" borderId="0" applyAlignment="1" pivotButton="0" quotePrefix="0" xfId="0">
      <alignment horizontal="left" vertical="center"/>
    </xf>
    <xf numFmtId="171" fontId="46" fillId="17" borderId="0" applyAlignment="1" pivotButton="0" quotePrefix="0" xfId="0">
      <alignment horizontal="center" vertical="center"/>
    </xf>
    <xf numFmtId="0" fontId="0" fillId="19" borderId="0" pivotButton="0" quotePrefix="0" xfId="0"/>
    <xf numFmtId="0" fontId="43" fillId="19" borderId="0" applyAlignment="1" pivotButton="0" quotePrefix="0" xfId="0">
      <alignment horizontal="left" vertical="center"/>
    </xf>
    <xf numFmtId="0" fontId="46" fillId="17" borderId="0" applyAlignment="1" pivotButton="0" quotePrefix="0" xfId="0">
      <alignment horizontal="center" vertical="center"/>
    </xf>
    <xf numFmtId="4" fontId="46" fillId="17" borderId="0" applyAlignment="1" pivotButton="0" quotePrefix="0" xfId="0">
      <alignment horizontal="center" vertical="center"/>
    </xf>
    <xf numFmtId="0" fontId="47" fillId="17" borderId="0" applyAlignment="1" pivotButton="0" quotePrefix="0" xfId="0">
      <alignment horizontal="left" vertical="center"/>
    </xf>
    <xf numFmtId="2" fontId="48" fillId="20" borderId="0" applyAlignment="1" pivotButton="0" quotePrefix="0" xfId="0">
      <alignment horizontal="center" vertical="center"/>
    </xf>
    <xf numFmtId="0" fontId="47" fillId="19" borderId="0" applyAlignment="1" pivotButton="0" quotePrefix="0" xfId="0">
      <alignment horizontal="left" vertical="center"/>
    </xf>
    <xf numFmtId="4" fontId="48" fillId="20" borderId="0" applyAlignment="1" pivotButton="0" quotePrefix="0" xfId="0">
      <alignment horizontal="center" vertical="center"/>
    </xf>
    <xf numFmtId="0" fontId="49" fillId="20" borderId="0" applyAlignment="1" pivotButton="0" quotePrefix="0" xfId="0">
      <alignment horizontal="left" vertical="center" wrapText="1"/>
    </xf>
    <xf numFmtId="0" fontId="39" fillId="21" borderId="0" applyAlignment="1" pivotButton="0" quotePrefix="0" xfId="0">
      <alignment horizontal="center" vertical="center"/>
    </xf>
    <xf numFmtId="0" fontId="36" fillId="22" borderId="0" applyAlignment="1" pivotButton="0" quotePrefix="0" xfId="0">
      <alignment horizontal="center" vertical="center"/>
    </xf>
    <xf numFmtId="0" fontId="45" fillId="16" borderId="0" pivotButton="0" quotePrefix="0" xfId="0"/>
    <xf numFmtId="0" fontId="50" fillId="16" borderId="0" applyAlignment="1" pivotButton="0" quotePrefix="0" xfId="0">
      <alignment horizontal="center" vertical="center"/>
    </xf>
    <xf numFmtId="4" fontId="45" fillId="16" borderId="0" pivotButton="0" quotePrefix="0" xfId="0"/>
    <xf numFmtId="4" fontId="51" fillId="16" borderId="0" applyAlignment="1" pivotButton="0" quotePrefix="0" xfId="0">
      <alignment horizontal="center" vertical="center"/>
    </xf>
    <xf numFmtId="0" fontId="45" fillId="17" borderId="0" pivotButton="0" quotePrefix="0" xfId="0"/>
    <xf numFmtId="0" fontId="50" fillId="17" borderId="0" applyAlignment="1" pivotButton="0" quotePrefix="0" xfId="0">
      <alignment horizontal="center" vertical="center"/>
    </xf>
    <xf numFmtId="4" fontId="45" fillId="17" borderId="0" pivotButton="0" quotePrefix="0" xfId="0"/>
    <xf numFmtId="4" fontId="51" fillId="17" borderId="0" applyAlignment="1" pivotButton="0" quotePrefix="0" xfId="0">
      <alignment horizontal="center" vertical="center"/>
    </xf>
    <xf numFmtId="0" fontId="51" fillId="23" borderId="0" applyAlignment="1" pivotButton="0" quotePrefix="0" xfId="0">
      <alignment horizontal="center" vertical="center"/>
    </xf>
    <xf numFmtId="4" fontId="52" fillId="23" borderId="0" applyAlignment="1" pivotButton="0" quotePrefix="0" xfId="0">
      <alignment horizontal="center" vertical="center"/>
    </xf>
    <xf numFmtId="0" fontId="39" fillId="24" borderId="0" applyAlignment="1" pivotButton="0" quotePrefix="0" xfId="0">
      <alignment horizontal="center" vertical="center"/>
    </xf>
    <xf numFmtId="0" fontId="45" fillId="16" borderId="0" applyAlignment="1" pivotButton="0" quotePrefix="0" xfId="0">
      <alignment horizontal="left" vertical="center"/>
    </xf>
    <xf numFmtId="4" fontId="53" fillId="16" borderId="0" applyAlignment="1" pivotButton="0" quotePrefix="0" xfId="0">
      <alignment horizontal="center" vertical="center"/>
    </xf>
    <xf numFmtId="1" fontId="53" fillId="17" borderId="0" applyAlignment="1" pivotButton="0" quotePrefix="0" xfId="0">
      <alignment horizontal="center" vertical="center"/>
    </xf>
    <xf numFmtId="1" fontId="53" fillId="16" borderId="0" applyAlignment="1" pivotButton="0" quotePrefix="0" xfId="0">
      <alignment horizontal="center" vertical="center"/>
    </xf>
    <xf numFmtId="0" fontId="54" fillId="25" borderId="0" applyAlignment="1" pivotButton="0" quotePrefix="0" xfId="0">
      <alignment horizontal="left" vertical="center"/>
    </xf>
    <xf numFmtId="4" fontId="55" fillId="25" borderId="0" applyAlignment="1" pivotButton="0" quotePrefix="0" xfId="0">
      <alignment horizontal="center" vertical="center"/>
    </xf>
    <xf numFmtId="0" fontId="0" fillId="25" borderId="0" pivotButton="0" quotePrefix="0" xfId="0"/>
    <xf numFmtId="0" fontId="39" fillId="26" borderId="0" applyAlignment="1" pivotButton="0" quotePrefix="0" xfId="0">
      <alignment horizontal="center" vertical="center"/>
    </xf>
    <xf numFmtId="0" fontId="0" fillId="22" borderId="0" pivotButton="0" quotePrefix="0" xfId="0"/>
    <xf numFmtId="0" fontId="0" fillId="27" borderId="0" pivotButton="0" quotePrefix="0" xfId="0"/>
    <xf numFmtId="4" fontId="45" fillId="27" borderId="0" applyAlignment="1" pivotButton="0" quotePrefix="0" xfId="0">
      <alignment horizontal="center" vertical="center"/>
    </xf>
    <xf numFmtId="4" fontId="45" fillId="17" borderId="0" applyAlignment="1" pivotButton="0" quotePrefix="0" xfId="0">
      <alignment horizontal="center" vertical="center"/>
    </xf>
    <xf numFmtId="0" fontId="56" fillId="28" borderId="0" applyAlignment="1" pivotButton="0" quotePrefix="0" xfId="0">
      <alignment horizontal="center" vertical="center"/>
    </xf>
    <xf numFmtId="4" fontId="57" fillId="28" borderId="0" applyAlignment="1" pivotButton="0" quotePrefix="0" xfId="0">
      <alignment horizontal="center" vertical="center"/>
    </xf>
    <xf numFmtId="0" fontId="58" fillId="14" borderId="0" applyAlignment="1" pivotButton="0" quotePrefix="0" xfId="0">
      <alignment horizontal="center" vertical="center"/>
    </xf>
    <xf numFmtId="0" fontId="59" fillId="16" borderId="0" applyAlignment="1" pivotButton="0" quotePrefix="0" xfId="0">
      <alignment horizontal="left" vertical="center"/>
    </xf>
    <xf numFmtId="4" fontId="48" fillId="16" borderId="0" applyAlignment="1" pivotButton="0" quotePrefix="0" xfId="0">
      <alignment horizontal="center" vertical="center"/>
    </xf>
    <xf numFmtId="0" fontId="51" fillId="16" borderId="0" applyAlignment="1" pivotButton="0" quotePrefix="0" xfId="0">
      <alignment horizontal="left" vertical="center"/>
    </xf>
    <xf numFmtId="4" fontId="41" fillId="16" borderId="0" applyAlignment="1" pivotButton="0" quotePrefix="0" xfId="0">
      <alignment horizontal="center" vertical="center"/>
    </xf>
    <xf numFmtId="0" fontId="60" fillId="16" borderId="0" applyAlignment="1" pivotButton="0" quotePrefix="0" xfId="0">
      <alignment horizontal="left" vertical="center"/>
    </xf>
    <xf numFmtId="4" fontId="55" fillId="16" borderId="0" applyAlignment="1" pivotButton="0" quotePrefix="0" xfId="0">
      <alignment horizontal="center" vertical="center"/>
    </xf>
    <xf numFmtId="0" fontId="56" fillId="16" borderId="0" applyAlignment="1" pivotButton="0" quotePrefix="0" xfId="0">
      <alignment horizontal="left" vertical="center"/>
    </xf>
    <xf numFmtId="4" fontId="61" fillId="16" borderId="0" applyAlignment="1" pivotButton="0" quotePrefix="0" xfId="0">
      <alignment horizontal="center" vertical="center"/>
    </xf>
    <xf numFmtId="0" fontId="58" fillId="14" borderId="0" applyAlignment="1" pivotButton="0" quotePrefix="0" xfId="0">
      <alignment horizontal="left" vertical="center"/>
    </xf>
    <xf numFmtId="4" fontId="62" fillId="14" borderId="0" applyAlignment="1" pivotButton="0" quotePrefix="0" xfId="0">
      <alignment horizontal="center" vertical="center"/>
    </xf>
    <xf numFmtId="0" fontId="63" fillId="22" borderId="0" applyAlignment="1" pivotButton="0" quotePrefix="0" xfId="0">
      <alignment horizontal="left" vertical="center"/>
    </xf>
    <xf numFmtId="4" fontId="37" fillId="22" borderId="0" applyAlignment="1" pivotButton="0" quotePrefix="0" xfId="0">
      <alignment horizontal="center" vertical="center"/>
    </xf>
    <xf numFmtId="0" fontId="60" fillId="25" borderId="0" applyAlignment="1" pivotButton="0" quotePrefix="0" xfId="0">
      <alignment horizontal="left" vertical="center"/>
    </xf>
    <xf numFmtId="4" fontId="64" fillId="25" borderId="0" applyAlignment="1" pivotButton="0" quotePrefix="0" xfId="0">
      <alignment horizontal="center" vertical="center"/>
    </xf>
    <xf numFmtId="0" fontId="38" fillId="14" borderId="0" applyAlignment="1" pivotButton="0" quotePrefix="0" xfId="0">
      <alignment horizontal="center" vertical="center"/>
    </xf>
    <xf numFmtId="0" fontId="58" fillId="15" borderId="0" applyAlignment="1" pivotButton="0" quotePrefix="0" xfId="0">
      <alignment horizontal="center" vertical="center"/>
    </xf>
    <xf numFmtId="0" fontId="40" fillId="16" borderId="0" applyAlignment="1" pivotButton="0" quotePrefix="0" xfId="0">
      <alignment horizontal="left" vertical="center"/>
    </xf>
    <xf numFmtId="0" fontId="51" fillId="17" borderId="0" applyAlignment="1" pivotButton="0" quotePrefix="0" xfId="0">
      <alignment horizontal="center" vertical="center"/>
    </xf>
    <xf numFmtId="4" fontId="51" fillId="17" borderId="0" applyAlignment="1" pivotButton="0" quotePrefix="0" xfId="0">
      <alignment horizontal="center" vertical="center"/>
    </xf>
    <xf numFmtId="0" fontId="45" fillId="16" borderId="0" applyAlignment="1" pivotButton="0" quotePrefix="0" xfId="0">
      <alignment horizontal="left" vertical="center"/>
    </xf>
    <xf numFmtId="0" fontId="65" fillId="23" borderId="0" applyAlignment="1" pivotButton="0" quotePrefix="0" xfId="0">
      <alignment horizontal="left" vertical="center"/>
    </xf>
    <xf numFmtId="4" fontId="66" fillId="29" borderId="0" applyAlignment="1" pivotButton="0" quotePrefix="0" xfId="0">
      <alignment horizontal="center" vertical="center"/>
    </xf>
    <xf numFmtId="0" fontId="0" fillId="30" borderId="0" pivotButton="0" quotePrefix="0" xfId="0"/>
    <xf numFmtId="0" fontId="63" fillId="31" borderId="0" applyAlignment="1" pivotButton="0" quotePrefix="0" xfId="0">
      <alignment horizontal="center" vertical="center"/>
    </xf>
    <xf numFmtId="0" fontId="63" fillId="32" borderId="0" applyAlignment="1" pivotButton="0" quotePrefix="0" xfId="0">
      <alignment horizontal="center" vertical="center"/>
    </xf>
    <xf numFmtId="0" fontId="45" fillId="23" borderId="0" applyAlignment="1" pivotButton="0" quotePrefix="0" xfId="0">
      <alignment horizontal="left" vertical="center"/>
    </xf>
    <xf numFmtId="1" fontId="67" fillId="17" borderId="0" applyAlignment="1" pivotButton="0" quotePrefix="0" xfId="0">
      <alignment horizontal="center" vertical="center"/>
    </xf>
    <xf numFmtId="4" fontId="68" fillId="17" borderId="0" applyAlignment="1" pivotButton="0" quotePrefix="0" xfId="0">
      <alignment horizontal="center" vertical="center"/>
    </xf>
    <xf numFmtId="0" fontId="69" fillId="29" borderId="0" applyAlignment="1" pivotButton="0" quotePrefix="0" xfId="0">
      <alignment horizontal="left" vertical="center"/>
    </xf>
    <xf numFmtId="164" fontId="70" fillId="25" borderId="0" applyAlignment="1" pivotButton="0" quotePrefix="0" xfId="0">
      <alignment horizontal="center" vertical="center"/>
    </xf>
    <xf numFmtId="172" fontId="70" fillId="25" borderId="0" applyAlignment="1" pivotButton="0" quotePrefix="0" xfId="0">
      <alignment horizontal="center" vertical="center"/>
    </xf>
    <xf numFmtId="0" fontId="71" fillId="16" borderId="0" applyAlignment="1" pivotButton="0" quotePrefix="0" xfId="0">
      <alignment horizontal="left" vertical="center"/>
    </xf>
    <xf numFmtId="173" fontId="72" fillId="16" borderId="0" applyAlignment="1" pivotButton="0" quotePrefix="0" xfId="0">
      <alignment horizontal="center" vertical="center"/>
    </xf>
    <xf numFmtId="173" fontId="69" fillId="16" borderId="0" applyAlignment="1" pivotButton="0" quotePrefix="0" xfId="0">
      <alignment horizontal="center" vertical="center"/>
    </xf>
    <xf numFmtId="0" fontId="39" fillId="22" borderId="0" applyAlignment="1" pivotButton="0" quotePrefix="0" xfId="0">
      <alignment horizontal="center" vertical="center"/>
    </xf>
    <xf numFmtId="0" fontId="36" fillId="22" borderId="0" applyAlignment="1" pivotButton="0" quotePrefix="0" xfId="0">
      <alignment horizontal="center" vertical="center"/>
    </xf>
    <xf numFmtId="0" fontId="73" fillId="16" borderId="0" applyAlignment="1" pivotButton="0" quotePrefix="0" xfId="0">
      <alignment horizontal="center" vertical="center"/>
    </xf>
    <xf numFmtId="4" fontId="45" fillId="16" borderId="0" applyAlignment="1" pivotButton="0" quotePrefix="0" xfId="0">
      <alignment horizontal="center" vertical="center"/>
    </xf>
    <xf numFmtId="4" fontId="74" fillId="16" borderId="0" applyAlignment="1" pivotButton="0" quotePrefix="0" xfId="0">
      <alignment horizontal="center" vertical="center"/>
    </xf>
    <xf numFmtId="4" fontId="44" fillId="16" borderId="0" applyAlignment="1" pivotButton="0" quotePrefix="0" xfId="0">
      <alignment horizontal="center" vertical="center"/>
    </xf>
    <xf numFmtId="1" fontId="75" fillId="16" borderId="0" applyAlignment="1" pivotButton="0" quotePrefix="0" xfId="0">
      <alignment horizontal="center" vertical="center"/>
    </xf>
    <xf numFmtId="173" fontId="76" fillId="16" borderId="0" applyAlignment="1" pivotButton="0" quotePrefix="0" xfId="0">
      <alignment horizontal="center" vertical="center"/>
    </xf>
    <xf numFmtId="0" fontId="73" fillId="17" borderId="0" applyAlignment="1" pivotButton="0" quotePrefix="0" xfId="0">
      <alignment horizontal="center" vertical="center"/>
    </xf>
    <xf numFmtId="4" fontId="45" fillId="17" borderId="0" applyAlignment="1" pivotButton="0" quotePrefix="0" xfId="0">
      <alignment horizontal="center" vertical="center"/>
    </xf>
    <xf numFmtId="4" fontId="74" fillId="17" borderId="0" applyAlignment="1" pivotButton="0" quotePrefix="0" xfId="0">
      <alignment horizontal="center" vertical="center"/>
    </xf>
    <xf numFmtId="4" fontId="44" fillId="17" borderId="0" applyAlignment="1" pivotButton="0" quotePrefix="0" xfId="0">
      <alignment horizontal="center" vertical="center"/>
    </xf>
    <xf numFmtId="1" fontId="75" fillId="17" borderId="0" applyAlignment="1" pivotButton="0" quotePrefix="0" xfId="0">
      <alignment horizontal="center" vertical="center"/>
    </xf>
    <xf numFmtId="173" fontId="76" fillId="17" borderId="0" applyAlignment="1" pivotButton="0" quotePrefix="0" xfId="0">
      <alignment horizontal="center" vertical="center"/>
    </xf>
    <xf numFmtId="0" fontId="58" fillId="33" borderId="0" applyAlignment="1" pivotButton="0" quotePrefix="0" xfId="0">
      <alignment horizontal="center" vertical="center"/>
    </xf>
    <xf numFmtId="0" fontId="76" fillId="0" borderId="0" applyAlignment="1" pivotButton="0" quotePrefix="0" xfId="0">
      <alignment horizontal="center" vertical="center"/>
    </xf>
    <xf numFmtId="0" fontId="77" fillId="17" borderId="0" applyAlignment="1" pivotButton="0" quotePrefix="0" xfId="0">
      <alignment horizontal="center" vertical="center"/>
    </xf>
    <xf numFmtId="0" fontId="45" fillId="17" borderId="0" applyAlignment="1" pivotButton="0" quotePrefix="0" xfId="0">
      <alignment horizontal="left" vertical="center"/>
    </xf>
    <xf numFmtId="4" fontId="77" fillId="17" borderId="0" applyAlignment="1" pivotButton="0" quotePrefix="0" xfId="0">
      <alignment horizontal="center" vertical="center"/>
    </xf>
    <xf numFmtId="174" fontId="77" fillId="17" borderId="0" applyAlignment="1" pivotButton="0" quotePrefix="0" xfId="0">
      <alignment horizontal="center" vertical="center"/>
    </xf>
    <xf numFmtId="0" fontId="69" fillId="34" borderId="0" applyAlignment="1" pivotButton="0" quotePrefix="0" xfId="0">
      <alignment horizontal="left" vertical="center"/>
    </xf>
    <xf numFmtId="4" fontId="78" fillId="35" borderId="0" applyAlignment="1" pivotButton="0" quotePrefix="0" xfId="0">
      <alignment horizontal="center" vertical="center"/>
    </xf>
    <xf numFmtId="1" fontId="77" fillId="17" borderId="0" applyAlignment="1" pivotButton="0" quotePrefix="0" xfId="0">
      <alignment horizontal="center" vertical="center"/>
    </xf>
    <xf numFmtId="4" fontId="55" fillId="16" borderId="0" applyAlignment="1" pivotButton="0" quotePrefix="0" xfId="0">
      <alignment horizontal="center" vertical="center"/>
    </xf>
    <xf numFmtId="4" fontId="78" fillId="17" borderId="0" applyAlignment="1" pivotButton="0" quotePrefix="0" xfId="0">
      <alignment horizontal="center" vertical="center"/>
    </xf>
    <xf numFmtId="0" fontId="40" fillId="36" borderId="0" applyAlignment="1" pivotButton="0" quotePrefix="0" xfId="0">
      <alignment horizontal="left" vertical="center"/>
    </xf>
    <xf numFmtId="4" fontId="66" fillId="36" borderId="0" applyAlignment="1" pivotButton="0" quotePrefix="0" xfId="0">
      <alignment horizontal="center" vertical="center"/>
    </xf>
    <xf numFmtId="175" fontId="66" fillId="36" borderId="0" applyAlignment="1" pivotButton="0" quotePrefix="0" xfId="0">
      <alignment horizontal="center" vertical="center"/>
    </xf>
    <xf numFmtId="175" fontId="79" fillId="36" borderId="0" applyAlignment="1" pivotButton="0" quotePrefix="0" xfId="0">
      <alignment horizontal="center" vertical="center"/>
    </xf>
    <xf numFmtId="0" fontId="39" fillId="14" borderId="0" applyAlignment="1" pivotButton="0" quotePrefix="0" xfId="0">
      <alignment horizontal="center" vertical="center" wrapText="1"/>
    </xf>
    <xf numFmtId="0" fontId="80" fillId="37" borderId="0" applyAlignment="1" pivotButton="0" quotePrefix="0" xfId="0">
      <alignment horizontal="left" vertical="center" wrapText="1"/>
    </xf>
    <xf numFmtId="0" fontId="41" fillId="17" borderId="0" applyAlignment="1" pivotButton="0" quotePrefix="0" xfId="0">
      <alignment horizontal="left" vertical="center"/>
    </xf>
    <xf numFmtId="0" fontId="43" fillId="16" borderId="0" pivotButton="0" quotePrefix="0" xfId="0"/>
  </cellXfs>
  <cellStyles count="1">
    <cellStyle name="Normal" xfId="0" builtinId="0"/>
  </cellStyles>
  <dxfs count="5">
    <dxf>
      <font/>
      <fill>
        <patternFill patternType="solid">
          <fgColor rgb="FFF1C40F"/>
          <bgColor rgb="FFF1C40F"/>
        </patternFill>
      </fill>
      <border/>
    </dxf>
    <dxf>
      <font/>
      <fill>
        <patternFill patternType="solid">
          <fgColor rgb="FF27AE60"/>
          <bgColor rgb="FF27AE60"/>
        </patternFill>
      </fill>
      <border/>
    </dxf>
    <dxf>
      <font/>
      <fill>
        <patternFill patternType="solid">
          <fgColor rgb="FFE74C3C"/>
          <bgColor rgb="FFE74C3C"/>
        </patternFill>
      </fill>
      <border/>
    </dxf>
    <dxf>
      <font>
        <b val="1"/>
        <color rgb="FF1E8449"/>
      </font>
      <fill>
        <patternFill/>
      </fill>
      <border/>
    </dxf>
    <dxf>
      <font>
        <b val="1"/>
        <color rgb="FFE74C3C"/>
      </font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980B9"/>
    <outlinePr summaryBelow="1" summaryRight="1"/>
    <pageSetUpPr/>
  </sheetPr>
  <dimension ref="A1:S26"/>
  <sheetViews>
    <sheetView showGridLines="0" workbookViewId="0">
      <selection activeCell="A1" sqref="A1"/>
    </sheetView>
  </sheetViews>
  <sheetFormatPr baseColWidth="8" defaultColWidth="14.43" defaultRowHeight="15" customHeight="1"/>
  <cols>
    <col width="18" customWidth="1" style="101" min="1" max="1"/>
    <col width="16" customWidth="1" style="101" min="2" max="2"/>
    <col width="8" customWidth="1" style="101" min="3" max="3"/>
    <col width="12" customWidth="1" style="101" min="4" max="4"/>
    <col width="3" customWidth="1" style="101" min="5" max="5"/>
    <col width="16" customWidth="1" style="101" min="6" max="6"/>
    <col width="12" customWidth="1" style="101" min="7" max="7"/>
    <col width="8" customWidth="1" style="101" min="8" max="8"/>
    <col width="3" customWidth="1" style="101" min="9" max="9"/>
    <col width="17.57" customWidth="1" style="101" min="10" max="10"/>
    <col width="23.71" customWidth="1" style="101" min="11" max="11"/>
    <col width="8.710000000000001" customWidth="1" style="101" min="12" max="17"/>
    <col width="18.71" customWidth="1" style="101" min="18" max="18"/>
    <col width="21.57" customWidth="1" style="101" min="19" max="19"/>
    <col width="8.710000000000001" customWidth="1" style="101" min="20" max="26"/>
  </cols>
  <sheetData>
    <row r="1" ht="21" customHeight="1" s="101">
      <c r="A1" s="102" t="inlineStr">
        <is>
          <t>CONTROLE FINANCEIRO — WILL &amp; SÁ</t>
        </is>
      </c>
      <c r="B1" s="103" t="n"/>
      <c r="C1" s="103" t="n"/>
      <c r="D1" s="103" t="n"/>
      <c r="E1" s="103" t="n"/>
      <c r="F1" s="103" t="n"/>
      <c r="G1" s="103" t="n"/>
      <c r="H1" s="103" t="n"/>
      <c r="I1" s="103" t="n"/>
      <c r="J1" s="103" t="n"/>
      <c r="K1" s="104" t="n"/>
      <c r="M1" s="5" t="n"/>
      <c r="N1" s="5" t="inlineStr">
        <is>
          <t>Receitas</t>
        </is>
      </c>
      <c r="O1" s="5" t="inlineStr">
        <is>
          <t>Despesas</t>
        </is>
      </c>
      <c r="R1" s="6" t="n"/>
      <c r="S1" s="6" t="n"/>
    </row>
    <row r="2">
      <c r="A2" s="7" t="inlineStr">
        <is>
          <t>Mês:</t>
        </is>
      </c>
      <c r="B2" s="8" t="n">
        <v>7</v>
      </c>
      <c r="C2" s="9">
        <f t="array" ref="C2">INDEX(Config!$J$2:$J$13,B2)</f>
        <v/>
      </c>
      <c r="D2" s="105">
        <f t="array" ref="D2">UPPER(INDEX(Config!$J$2:$J$13,B2))&amp;"  "&amp;B3</f>
        <v/>
      </c>
      <c r="K2" s="106" t="n"/>
      <c r="M2" s="5" t="inlineStr">
        <is>
          <t>Ciclo 1</t>
        </is>
      </c>
      <c r="N2" s="6" t="n">
        <v>1190</v>
      </c>
      <c r="O2" s="6" t="n">
        <v>0</v>
      </c>
      <c r="R2" s="6" t="n"/>
      <c r="S2" s="6" t="n"/>
    </row>
    <row r="3">
      <c r="A3" s="7" t="inlineStr">
        <is>
          <t>Ano:</t>
        </is>
      </c>
      <c r="B3" s="13" t="n">
        <v>2026</v>
      </c>
      <c r="D3" s="107">
        <f>IF(B5&gt;0,"Renda: R$ "&amp;TEXT(B5,"#.#0")&amp;"  |  Gasto: R$ "&amp;TEXT(G5,"#.#0")&amp;"  |  Sobra: "&amp;TEXT(IFERROR(K5/B5,0),"0%"),"Nenhum lançamento neste mês")</f>
        <v/>
      </c>
      <c r="G3" s="106" t="n"/>
      <c r="H3" s="108" t="inlineStr">
        <is>
          <t>Visualizar:</t>
        </is>
      </c>
      <c r="I3" s="109" t="inlineStr">
        <is>
          <t>C1+C2</t>
        </is>
      </c>
      <c r="J3" s="110" t="n"/>
      <c r="M3" s="5" t="inlineStr">
        <is>
          <t>Ciclo 2</t>
        </is>
      </c>
      <c r="N3" s="6" t="n">
        <v>0</v>
      </c>
      <c r="O3" s="6" t="n">
        <v>0</v>
      </c>
    </row>
    <row r="4" ht="6" customHeight="1" s="101">
      <c r="A4" s="16" t="n"/>
      <c r="K4" s="17" t="n"/>
    </row>
    <row r="5" ht="33.75" customHeight="1" s="101">
      <c r="A5" s="18" t="inlineStr">
        <is>
          <t>📥 RECEITAS</t>
        </is>
      </c>
      <c r="B5" s="111">
        <f>IFERROR(IF($I$3="C1",B11,IF($I$3="C2",C11,IF($I$3="Anual",SUMPRODUCT((Lancamentos!$A$2:$A$487="Receita")*(Lancamentos!$B$2:$B$487&lt;&gt;"")*(YEAR(Lancamentos!$B$2:$B$487)=$B$3)*Lancamentos!$G$2:$G$487),D11))),0)</f>
        <v/>
      </c>
      <c r="C5" s="112" t="n"/>
      <c r="D5" s="113" t="n"/>
      <c r="F5" s="22" t="inlineStr">
        <is>
          <t>📤 DESPESAS</t>
        </is>
      </c>
      <c r="G5" s="114">
        <f>IFERROR(IF($I$3="C1",B12,IF($I$3="C2",C12,IF($I$3="Anual",SUMPRODUCT((Lancamentos!$A$2:$A$487="Despesa")*(Lancamentos!$B$2:$B$487&lt;&gt;"")*(YEAR(Lancamentos!$B$2:$B$487)=$B$3)*Lancamentos!$G$2:$G$487),D12))),0)</f>
        <v/>
      </c>
      <c r="H5" s="113" t="n"/>
      <c r="J5" s="24" t="inlineStr">
        <is>
          <t>💰 SALDO</t>
        </is>
      </c>
      <c r="K5" s="25">
        <f>B5-G5</f>
        <v/>
      </c>
      <c r="M5" s="5" t="inlineStr">
        <is>
          <t>Luz</t>
        </is>
      </c>
      <c r="N5" s="6" t="n">
        <v>0</v>
      </c>
    </row>
    <row r="6" ht="6" customHeight="1" s="101">
      <c r="A6" s="16" t="n"/>
      <c r="K6" s="17" t="n"/>
      <c r="M6" s="5" t="inlineStr">
        <is>
          <t>Internet</t>
        </is>
      </c>
      <c r="N6" s="6" t="n">
        <v>0</v>
      </c>
    </row>
    <row r="7" ht="24" customHeight="1" s="101">
      <c r="A7" s="115" t="inlineStr">
        <is>
          <t>RESUMO DO MÊS</t>
        </is>
      </c>
      <c r="F7" s="116" t="inlineStr">
        <is>
          <t>GASTOS POR CATEGORIA</t>
        </is>
      </c>
      <c r="J7" s="117" t="inlineStr">
        <is>
          <t>INDICADORES</t>
        </is>
      </c>
      <c r="K7" s="106" t="n"/>
      <c r="M7" s="5" t="inlineStr">
        <is>
          <t>Estacionamento</t>
        </is>
      </c>
      <c r="N7" s="6" t="n">
        <v>0</v>
      </c>
    </row>
    <row r="8">
      <c r="A8" s="29" t="n"/>
      <c r="B8" s="30" t="inlineStr">
        <is>
          <t>Ciclo 1</t>
        </is>
      </c>
      <c r="C8" s="30" t="inlineStr">
        <is>
          <t>Ciclo 2</t>
        </is>
      </c>
      <c r="D8" s="30" t="inlineStr">
        <is>
          <t>Total</t>
        </is>
      </c>
      <c r="F8" s="40" t="inlineStr">
        <is>
          <t>Luz</t>
        </is>
      </c>
      <c r="G8" s="32">
        <f>IFERROR(SUMPRODUCT((Lancamentos!$A$2:$A$487="Despesa")*(Lancamentos!$B$2:$B$487&lt;&gt;"")*(MONTH(Lancamentos!$B$2:$B$487)=$B$2)*(YEAR(Lancamentos!$B$2:$B$487)=$B$3)*(Lancamentos!$D$2:$D$487="Luz")*Lancamentos!$G$2:$G$487),0)</f>
        <v/>
      </c>
      <c r="H8" s="33">
        <f>IFERROR(G8/SUM(G$8:G$15),0)</f>
        <v/>
      </c>
      <c r="J8" s="34" t="inlineStr">
        <is>
          <t>⏳ Pendente</t>
        </is>
      </c>
      <c r="K8" s="35">
        <f>IFERROR(SUMPRODUCT((Lancamentos!$A$2:$A$487="Despesa")*(Lancamentos!$B$2:$B$487&lt;&gt;"")*(MONTH(Lancamentos!$B$2:$B$487)=$B$2)*(YEAR(Lancamentos!$B$2:$B$487)=$B$3)*(Lancamentos!$H$2:$H$487="Pendente")*Lancamentos!$G$2:$G$487),0)</f>
        <v/>
      </c>
      <c r="M8" s="5" t="inlineStr">
        <is>
          <t>Cartão Will</t>
        </is>
      </c>
      <c r="N8" s="6" t="n">
        <v>0</v>
      </c>
    </row>
    <row r="9">
      <c r="A9" s="36" t="inlineStr">
        <is>
          <t>Will</t>
        </is>
      </c>
      <c r="B9" s="37">
        <f>IFERROR(SUMPRODUCT((Lancamentos!$A$2:$A$487="Receita")*(Lancamentos!$B$2:$B$487&lt;&gt;"")*(MONTH(Lancamentos!$B$2:$B$487)=$B$2)*(YEAR(Lancamentos!$B$2:$B$487)=$B$3)*(Lancamentos!$E$2:$E$487="Will")*(Lancamentos!$F$2:$F$487=1)*Lancamentos!$G$2:$G$487),0)</f>
        <v/>
      </c>
      <c r="C9" s="37">
        <f>IFERROR(SUMPRODUCT((Lancamentos!$A$2:$A$487="Receita")*(Lancamentos!$B$2:$B$487&lt;&gt;"")*(MONTH(Lancamentos!$B$2:$B$487)=$B$2)*(YEAR(Lancamentos!$B$2:$B$487)=$B$3)*(Lancamentos!$E$2:$E$487="Will")*(Lancamentos!$F$2:$F$487=2)*Lancamentos!$G$2:$G$487),0)</f>
        <v/>
      </c>
      <c r="D9" s="37">
        <f>SUM(B9:C9)</f>
        <v/>
      </c>
      <c r="F9" s="40" t="inlineStr">
        <is>
          <t>Internet</t>
        </is>
      </c>
      <c r="G9" s="32">
        <f>IFERROR(SUMPRODUCT((Lancamentos!$A$2:$A$487="Despesa")*(Lancamentos!$B$2:$B$487&lt;&gt;"")*(MONTH(Lancamentos!$B$2:$B$487)=$B$2)*(YEAR(Lancamentos!$B$2:$B$487)=$B$3)*(Lancamentos!$D$2:$D$487="Internet")*Lancamentos!$G$2:$G$487),0)</f>
        <v/>
      </c>
      <c r="H9" s="33">
        <f>IFERROR(G9/SUM(G$8:G$15),0)</f>
        <v/>
      </c>
      <c r="J9" s="38" t="inlineStr">
        <is>
          <t>✅ Pago</t>
        </is>
      </c>
      <c r="K9" s="39">
        <f>IFERROR(SUMPRODUCT((Lancamentos!$A$2:$A$487="Despesa")*(Lancamentos!$B$2:$B$487&lt;&gt;"")*(MONTH(Lancamentos!$B$2:$B$487)=$B$2)*(YEAR(Lancamentos!$B$2:$B$487)=$B$3)*(Lancamentos!$H$2:$H$487="Pago")*Lancamentos!$G$2:$G$487),0)</f>
        <v/>
      </c>
      <c r="M9" s="5" t="inlineStr">
        <is>
          <t>Cartão Sá</t>
        </is>
      </c>
      <c r="N9" s="6" t="n">
        <v>0</v>
      </c>
    </row>
    <row r="10">
      <c r="A10" s="36" t="inlineStr">
        <is>
          <t>Sá</t>
        </is>
      </c>
      <c r="B10" s="37">
        <f>IFERROR(SUMPRODUCT((Lancamentos!$A$2:$A$487="Receita")*(Lancamentos!$B$2:$B$487&lt;&gt;"")*(MONTH(Lancamentos!$B$2:$B$487)=$B$2)*(YEAR(Lancamentos!$B$2:$B$487)=$B$3)*(Lancamentos!$E$2:$E$487="Sá")*(Lancamentos!$F$2:$F$487=1)*Lancamentos!$G$2:$G$487),0)</f>
        <v/>
      </c>
      <c r="C10" s="37">
        <f>IFERROR(SUMPRODUCT((Lancamentos!$A$2:$A$487="Receita")*(Lancamentos!$B$2:$B$487&lt;&gt;"")*(MONTH(Lancamentos!$B$2:$B$487)=$B$2)*(YEAR(Lancamentos!$B$2:$B$487)=$B$3)*(Lancamentos!$E$2:$E$487="Sá")*(Lancamentos!$F$2:$F$487=2)*Lancamentos!$G$2:$G$487),0)</f>
        <v/>
      </c>
      <c r="D10" s="37">
        <f>SUM(B10:C10)</f>
        <v/>
      </c>
      <c r="F10" s="40" t="inlineStr">
        <is>
          <t>Aluguel</t>
        </is>
      </c>
      <c r="G10" s="32">
        <f>IFERROR(SUMPRODUCT((Lancamentos!$A$2:$A$487="Despesa")*(Lancamentos!$B$2:$B$487&lt;&gt;"")*(MONTH(Lancamentos!$B$2:$B$487)=$B$2)*(YEAR(Lancamentos!$B$2:$B$487)=$B$3)*(Lancamentos!$D$2:$D$487="Aluguel")*Lancamentos!$G$2:$G$487),0)</f>
        <v/>
      </c>
      <c r="H10" s="33">
        <f>IFERROR(G10/SUM(G$8:G$15),0)</f>
        <v/>
      </c>
      <c r="J10" s="41" t="inlineStr">
        <is>
          <t>🔴 A Pagar</t>
        </is>
      </c>
      <c r="K10" s="42">
        <f>IFERROR(SUMPRODUCT((Lancamentos!$A$2:$A$487="Despesa")*(Lancamentos!$B$2:$B$487&lt;&gt;"")*(MONTH(Lancamentos!$B$2:$B$487)=$B$2)*(YEAR(Lancamentos!$B$2:$B$487)=$B$3)*(Lancamentos!$H$2:$H$487="A Pagar")*Lancamentos!$G$2:$G$487),0)</f>
        <v/>
      </c>
      <c r="M10" s="5" t="inlineStr">
        <is>
          <t>Celular</t>
        </is>
      </c>
      <c r="N10" s="6" t="n">
        <v>0</v>
      </c>
    </row>
    <row r="11">
      <c r="A11" s="43" t="inlineStr">
        <is>
          <t>RECEITAS</t>
        </is>
      </c>
      <c r="B11" s="44">
        <f>SUM(B9:B10)</f>
        <v/>
      </c>
      <c r="C11" s="44">
        <f>SUM(C9:C10)</f>
        <v/>
      </c>
      <c r="D11" s="44">
        <f>SUM(D9:D10)</f>
        <v/>
      </c>
      <c r="F11" s="40" t="inlineStr">
        <is>
          <t>Cartão Will</t>
        </is>
      </c>
      <c r="G11" s="32">
        <f>IFERROR(SUMPRODUCT((Lancamentos!$A$2:$A$487="Despesa")*(Lancamentos!$B$2:$B$487&lt;&gt;"")*(MONTH(Lancamentos!$B$2:$B$487)=$B$2)*(YEAR(Lancamentos!$B$2:$B$487)=$B$3)*(Lancamentos!$D$2:$D$487="Cartão Will")*Lancamentos!$G$2:$G$487),0)</f>
        <v/>
      </c>
      <c r="H11" s="33">
        <f>IFERROR(G11/SUM(G$8:G$15),0)</f>
        <v/>
      </c>
      <c r="K11" s="17" t="n"/>
      <c r="M11" s="5" t="inlineStr">
        <is>
          <t>Areia</t>
        </is>
      </c>
      <c r="N11" s="6" t="n">
        <v>0</v>
      </c>
    </row>
    <row r="12">
      <c r="A12" s="45" t="inlineStr">
        <is>
          <t>DESPESAS</t>
        </is>
      </c>
      <c r="B12" s="46">
        <f>IFERROR(SUMPRODUCT((Lancamentos!$A$2:$A$487="Despesa")*(Lancamentos!$B$2:$B$487&lt;&gt;"")*(MONTH(Lancamentos!$B$2:$B$487)=$B$2)*(YEAR(Lancamentos!$B$2:$B$487)=$B$3)*(Lancamentos!$F$2:$F$487=1)*Lancamentos!$G$2:$G$487),0)</f>
        <v/>
      </c>
      <c r="C12" s="46">
        <f>IFERROR(SUMPRODUCT((Lancamentos!$A$2:$A$487="Despesa")*(Lancamentos!$B$2:$B$487&lt;&gt;"")*(MONTH(Lancamentos!$B$2:$B$487)=$B$2)*(YEAR(Lancamentos!$B$2:$B$487)=$B$3)*(Lancamentos!$F$2:$F$487=2)*Lancamentos!$G$2:$G$487),0)</f>
        <v/>
      </c>
      <c r="D12" s="46">
        <f>SUM(B12:C12)</f>
        <v/>
      </c>
      <c r="F12" s="40" t="inlineStr">
        <is>
          <t>Alimentação</t>
        </is>
      </c>
      <c r="G12" s="32">
        <f>IFERROR(SUMPRODUCT((Lancamentos!$A$2:$A$487="Despesa")*(Lancamentos!$B$2:$B$487&lt;&gt;"")*(MONTH(Lancamentos!$B$2:$B$487)=$B$2)*(YEAR(Lancamentos!$B$2:$B$487)=$B$3)*(Lancamentos!$D$2:$D$487="Alimentação")*Lancamentos!$G$2:$G$487),0)</f>
        <v/>
      </c>
      <c r="H12" s="33">
        <f>IFERROR(G12/SUM(G$8:G$15),0)</f>
        <v/>
      </c>
      <c r="J12" s="47" t="inlineStr">
        <is>
          <t>% Comprometido</t>
        </is>
      </c>
      <c r="K12" s="48">
        <f>IFERROR(G5/B5,0)</f>
        <v/>
      </c>
      <c r="M12" s="5" t="inlineStr">
        <is>
          <t>Unha mão</t>
        </is>
      </c>
      <c r="N12" s="6" t="n">
        <v>0</v>
      </c>
    </row>
    <row r="13">
      <c r="A13" s="49" t="inlineStr">
        <is>
          <t>SALDO</t>
        </is>
      </c>
      <c r="B13" s="50">
        <f>B11-B12</f>
        <v/>
      </c>
      <c r="C13" s="50">
        <f>C11-C12</f>
        <v/>
      </c>
      <c r="D13" s="50">
        <f>D11-D12</f>
        <v/>
      </c>
      <c r="F13" s="40" t="inlineStr">
        <is>
          <t>Condominio</t>
        </is>
      </c>
      <c r="G13" s="32">
        <f>IFERROR(SUMPRODUCT((Lancamentos!$A$2:$A$487="Despesa")*(Lancamentos!$B$2:$B$487&lt;&gt;"")*(MONTH(Lancamentos!$B$2:$B$487)=$B$2)*(YEAR(Lancamentos!$B$2:$B$487)=$B$3)*(Lancamentos!$D$2:$D$487="Condominio")*Lancamentos!$G$2:$G$487),0)</f>
        <v/>
      </c>
      <c r="H13" s="33">
        <f>IFERROR(G13/SUM(G$8:G$15),0)</f>
        <v/>
      </c>
      <c r="J13" s="51" t="inlineStr">
        <is>
          <t>Maior Gasto</t>
        </is>
      </c>
      <c r="K13" s="52">
        <f t="array" ref="K13">IFERROR(INDEX(F$8:F$15,MATCH(MAX(G$8:G$15),G$8:G$15,0)),"-")</f>
        <v/>
      </c>
    </row>
    <row r="14">
      <c r="A14" s="16" t="n"/>
      <c r="F14" s="40" t="inlineStr">
        <is>
          <t>Pets</t>
        </is>
      </c>
      <c r="G14" s="32">
        <f>IFERROR(SUMPRODUCT((Lancamentos!$A$2:$A$487="Despesa")*(Lancamentos!$B$2:$B$487&lt;&gt;"")*(MONTH(Lancamentos!$B$2:$B$487)=$B$2)*(YEAR(Lancamentos!$B$2:$B$487)=$B$3)*(Lancamentos!$D$2:$D$487="Pets")*Lancamentos!$G$2:$G$487),0)</f>
        <v/>
      </c>
      <c r="H14" s="33">
        <f>IFERROR(G14/SUM(G$8:G$15),0)</f>
        <v/>
      </c>
      <c r="J14" s="51" t="inlineStr">
        <is>
          <t>Nº Lançamentos</t>
        </is>
      </c>
      <c r="K14" s="53">
        <f>SUMPRODUCT((Lancamentos!$B$2:$B$487&lt;&gt;"")*(MONTH(Lancamentos!$B$2:$B$487)=$B$2)*(YEAR(Lancamentos!$B$2:$B$487)=$B$3))</f>
        <v/>
      </c>
    </row>
    <row r="15">
      <c r="A15" s="16" t="n"/>
      <c r="F15" s="40" t="inlineStr">
        <is>
          <t>Combustivel</t>
        </is>
      </c>
      <c r="G15" s="32">
        <f>IFERROR(SUMPRODUCT((Lancamentos!$A$2:$A$487="Despesa")*(Lancamentos!$B$2:$B$487&lt;&gt;"")*(MONTH(Lancamentos!$B$2:$B$487)=$B$2)*(YEAR(Lancamentos!$B$2:$B$487)=$B$3)*(Lancamentos!$D$2:$D$487="Combustivel")*Lancamentos!$G$2:$G$487),0)</f>
        <v/>
      </c>
      <c r="H15" s="33">
        <f>IFERROR(G15/SUM(G$8:G$15),0)</f>
        <v/>
      </c>
      <c r="J15" s="51" t="inlineStr">
        <is>
          <t>Situação</t>
        </is>
      </c>
      <c r="K15" s="52">
        <f>IF(IFERROR(G5/B5,0)&gt;0.8,"⚠️ Atenção",IF(IFERROR(G5/B5,0)&gt;0.5,"⚡ Moderado","✅ Tranquilo"))</f>
        <v/>
      </c>
    </row>
    <row r="16" ht="6" customHeight="1" s="101">
      <c r="A16" s="16" t="n"/>
      <c r="K16" s="17" t="n"/>
    </row>
    <row r="17" ht="19.5" customHeight="1" s="101">
      <c r="A17" s="118" t="inlineStr">
        <is>
          <t>PENDENTE</t>
        </is>
      </c>
      <c r="B17" s="119" t="n"/>
      <c r="C17" s="119" t="n"/>
      <c r="D17" s="119" t="n"/>
      <c r="E17" s="57" t="n"/>
      <c r="F17" s="120" t="inlineStr">
        <is>
          <t>PAGO / RECEBIDO</t>
        </is>
      </c>
      <c r="G17" s="119" t="n"/>
      <c r="H17" s="119" t="n"/>
      <c r="I17" s="57" t="n"/>
      <c r="J17" s="121" t="inlineStr">
        <is>
          <t>A PAGAR</t>
        </is>
      </c>
      <c r="K17" s="122" t="n"/>
    </row>
    <row r="18" ht="6" customHeight="1" s="101"/>
    <row r="19">
      <c r="A19" s="61" t="inlineStr">
        <is>
          <t>💡 Para lançar: menu  💰 Controle → 📝 Novo Lançamento</t>
        </is>
      </c>
    </row>
    <row r="20" ht="21" customHeight="1" s="101">
      <c r="A20" s="123" t="inlineStr">
        <is>
          <t>📈 CARTEIRA FIIs</t>
        </is>
      </c>
      <c r="B20" s="124" t="n"/>
    </row>
    <row r="21" ht="15.75" customHeight="1" s="101">
      <c r="A21" s="64" t="inlineStr">
        <is>
          <t>Total Investido</t>
        </is>
      </c>
      <c r="B21" s="65" t="n">
        <v>9.76</v>
      </c>
    </row>
    <row r="22" ht="15.75" customHeight="1" s="101">
      <c r="A22" s="64" t="inlineStr">
        <is>
          <t>Valor Atual</t>
        </is>
      </c>
      <c r="B22" s="65" t="n">
        <v>9.76</v>
      </c>
    </row>
    <row r="23" ht="15.75" customHeight="1" s="101">
      <c r="A23" s="64" t="inlineStr">
        <is>
          <t>Rentabilidade</t>
        </is>
      </c>
      <c r="B23" s="66" t="n">
        <v>0</v>
      </c>
    </row>
    <row r="24" ht="15.75" customHeight="1" s="101">
      <c r="A24" s="64" t="inlineStr">
        <is>
          <t>Div. Mês (estimado)</t>
        </is>
      </c>
      <c r="B24" s="65" t="n">
        <v>0.09999999863999999</v>
      </c>
    </row>
    <row r="25" ht="15.75" customHeight="1" s="101">
      <c r="A25" s="64" t="inlineStr">
        <is>
          <t>Qtd de FIIs</t>
        </is>
      </c>
      <c r="B25" s="67" t="n">
        <v>1</v>
      </c>
    </row>
    <row r="26" ht="15.75" customHeight="1" s="101">
      <c r="A26" s="68" t="inlineStr">
        <is>
          <t>Melhor FII</t>
        </is>
      </c>
      <c r="B26" s="69" t="inlineStr">
        <is>
          <t>MXRF11  (73)</t>
        </is>
      </c>
    </row>
    <row r="27" ht="15.75" customHeight="1" s="101"/>
    <row r="28" ht="15.75" customHeight="1" s="101"/>
    <row r="29" ht="15.75" customHeight="1" s="101"/>
    <row r="30" ht="15.75" customHeight="1" s="101"/>
    <row r="31" ht="15.75" customHeight="1" s="101"/>
    <row r="32" ht="15.75" customHeight="1" s="101"/>
    <row r="33" ht="15.75" customHeight="1" s="101"/>
    <row r="34" ht="15.75" customHeight="1" s="101"/>
    <row r="35" ht="15.75" customHeight="1" s="101"/>
    <row r="36" ht="15.75" customHeight="1" s="101"/>
    <row r="37" ht="15.75" customHeight="1" s="101"/>
    <row r="38" ht="15.75" customHeight="1" s="101"/>
    <row r="39" ht="15.75" customHeight="1" s="101"/>
    <row r="40" ht="15.75" customHeight="1" s="101"/>
    <row r="41" ht="15.75" customHeight="1" s="101"/>
    <row r="42" ht="15.75" customHeight="1" s="101"/>
    <row r="43" ht="15.75" customHeight="1" s="101"/>
    <row r="44" ht="15.75" customHeight="1" s="101"/>
    <row r="45" ht="15.75" customHeight="1" s="101"/>
    <row r="46" ht="15.75" customHeight="1" s="101"/>
    <row r="47" ht="15.75" customHeight="1" s="101"/>
    <row r="48" ht="15.75" customHeight="1" s="101"/>
    <row r="49" ht="15.75" customHeight="1" s="101"/>
    <row r="50" ht="15.75" customHeight="1" s="101"/>
    <row r="51" ht="15.75" customHeight="1" s="101"/>
    <row r="52" ht="15.75" customHeight="1" s="101"/>
    <row r="53" ht="15.75" customHeight="1" s="101"/>
    <row r="54" ht="15.75" customHeight="1" s="101"/>
    <row r="55" ht="15.75" customHeight="1" s="101"/>
    <row r="56" ht="15.75" customHeight="1" s="101"/>
    <row r="57" ht="15.75" customHeight="1" s="101"/>
    <row r="58" ht="15.75" customHeight="1" s="101"/>
    <row r="59" ht="15.75" customHeight="1" s="101"/>
    <row r="60" ht="15.75" customHeight="1" s="101"/>
    <row r="61" ht="15.75" customHeight="1" s="101"/>
    <row r="62" ht="15.75" customHeight="1" s="101"/>
    <row r="63" ht="15.75" customHeight="1" s="101"/>
    <row r="64" ht="15.75" customHeight="1" s="101"/>
    <row r="65" ht="15.75" customHeight="1" s="101"/>
    <row r="66" ht="15.75" customHeight="1" s="101"/>
    <row r="67" ht="15.75" customHeight="1" s="101"/>
    <row r="68" ht="15.75" customHeight="1" s="101"/>
    <row r="69" ht="15.75" customHeight="1" s="101"/>
    <row r="70" ht="15.75" customHeight="1" s="101"/>
    <row r="71" ht="15.75" customHeight="1" s="101"/>
    <row r="72" ht="15.75" customHeight="1" s="101"/>
    <row r="73" ht="15.75" customHeight="1" s="101"/>
    <row r="74" ht="15.75" customHeight="1" s="101"/>
    <row r="75" ht="15.75" customHeight="1" s="101"/>
    <row r="76" ht="15.75" customHeight="1" s="101"/>
    <row r="77" ht="15.75" customHeight="1" s="101"/>
    <row r="78" ht="15.75" customHeight="1" s="101"/>
    <row r="79" ht="15.75" customHeight="1" s="101"/>
    <row r="80" ht="15.75" customHeight="1" s="101"/>
    <row r="81" ht="15.75" customHeight="1" s="101"/>
    <row r="82" ht="15.75" customHeight="1" s="101"/>
    <row r="83" ht="15.75" customHeight="1" s="101"/>
    <row r="84" ht="15.75" customHeight="1" s="101"/>
    <row r="85" ht="15.75" customHeight="1" s="101"/>
    <row r="86" ht="15.75" customHeight="1" s="101"/>
    <row r="87" ht="15.75" customHeight="1" s="101"/>
    <row r="88" ht="15.75" customHeight="1" s="101"/>
    <row r="89" ht="15.75" customHeight="1" s="101"/>
    <row r="90" ht="15.75" customHeight="1" s="101"/>
    <row r="91" ht="15.75" customHeight="1" s="101"/>
    <row r="92" ht="15.75" customHeight="1" s="101"/>
    <row r="93" ht="15.75" customHeight="1" s="101"/>
    <row r="94" ht="15.75" customHeight="1" s="101"/>
    <row r="95" ht="15.75" customHeight="1" s="101"/>
    <row r="96" ht="15.75" customHeight="1" s="101"/>
    <row r="97" ht="15.75" customHeight="1" s="101"/>
    <row r="98" ht="15.75" customHeight="1" s="101"/>
    <row r="99" ht="15.75" customHeight="1" s="101"/>
    <row r="100" ht="15.75" customHeight="1" s="101"/>
    <row r="101" ht="15.75" customHeight="1" s="101"/>
    <row r="102" ht="15.75" customHeight="1" s="101"/>
    <row r="103" ht="15.75" customHeight="1" s="101"/>
    <row r="104" ht="15.75" customHeight="1" s="101"/>
    <row r="105" ht="15.75" customHeight="1" s="101"/>
    <row r="106" ht="15.75" customHeight="1" s="101"/>
    <row r="107" ht="15.75" customHeight="1" s="101"/>
    <row r="108" ht="15.75" customHeight="1" s="101"/>
    <row r="109" ht="15.75" customHeight="1" s="101"/>
    <row r="110" ht="15.75" customHeight="1" s="101"/>
    <row r="111" ht="15.75" customHeight="1" s="101"/>
    <row r="112" ht="15.75" customHeight="1" s="101"/>
    <row r="113" ht="15.75" customHeight="1" s="101"/>
    <row r="114" ht="15.75" customHeight="1" s="101"/>
    <row r="115" ht="15.75" customHeight="1" s="101"/>
    <row r="116" ht="15.75" customHeight="1" s="101"/>
    <row r="117" ht="15.75" customHeight="1" s="101"/>
    <row r="118" ht="15.75" customHeight="1" s="101"/>
    <row r="119" ht="15.75" customHeight="1" s="101"/>
    <row r="120" ht="15.75" customHeight="1" s="101"/>
    <row r="121" ht="15.75" customHeight="1" s="101"/>
    <row r="122" ht="15.75" customHeight="1" s="101"/>
    <row r="123" ht="15.75" customHeight="1" s="101"/>
    <row r="124" ht="15.75" customHeight="1" s="101"/>
    <row r="125" ht="15.75" customHeight="1" s="101"/>
    <row r="126" ht="15.75" customHeight="1" s="101"/>
    <row r="127" ht="15.75" customHeight="1" s="101"/>
    <row r="128" ht="15.75" customHeight="1" s="101"/>
    <row r="129" ht="15.75" customHeight="1" s="101"/>
    <row r="130" ht="15.75" customHeight="1" s="101"/>
    <row r="131" ht="15.75" customHeight="1" s="101"/>
    <row r="132" ht="15.75" customHeight="1" s="101"/>
    <row r="133" ht="15.75" customHeight="1" s="101"/>
    <row r="134" ht="15.75" customHeight="1" s="101"/>
    <row r="135" ht="15.75" customHeight="1" s="101"/>
    <row r="136" ht="15.75" customHeight="1" s="101"/>
    <row r="137" ht="15.75" customHeight="1" s="101"/>
    <row r="138" ht="15.75" customHeight="1" s="101"/>
    <row r="139" ht="15.75" customHeight="1" s="101"/>
    <row r="140" ht="15.75" customHeight="1" s="101"/>
    <row r="141" ht="15.75" customHeight="1" s="101"/>
    <row r="142" ht="15.75" customHeight="1" s="101"/>
    <row r="143" ht="15.75" customHeight="1" s="101"/>
    <row r="144" ht="15.75" customHeight="1" s="101"/>
    <row r="145" ht="15.75" customHeight="1" s="101"/>
    <row r="146" ht="15.75" customHeight="1" s="101"/>
    <row r="147" ht="15.75" customHeight="1" s="101"/>
    <row r="148" ht="15.75" customHeight="1" s="101"/>
    <row r="149" ht="15.75" customHeight="1" s="101"/>
    <row r="150" ht="15.75" customHeight="1" s="101"/>
    <row r="151" ht="15.75" customHeight="1" s="101"/>
    <row r="152" ht="15.75" customHeight="1" s="101"/>
    <row r="153" ht="15.75" customHeight="1" s="101"/>
    <row r="154" ht="15.75" customHeight="1" s="101"/>
    <row r="155" ht="15.75" customHeight="1" s="101"/>
    <row r="156" ht="15.75" customHeight="1" s="101"/>
    <row r="157" ht="15.75" customHeight="1" s="101"/>
    <row r="158" ht="15.75" customHeight="1" s="101"/>
    <row r="159" ht="15.75" customHeight="1" s="101"/>
    <row r="160" ht="15.75" customHeight="1" s="101"/>
    <row r="161" ht="15.75" customHeight="1" s="101"/>
    <row r="162" ht="15.75" customHeight="1" s="101"/>
    <row r="163" ht="15.75" customHeight="1" s="101"/>
    <row r="164" ht="15.75" customHeight="1" s="101"/>
    <row r="165" ht="15.75" customHeight="1" s="101"/>
    <row r="166" ht="15.75" customHeight="1" s="101"/>
    <row r="167" ht="15.75" customHeight="1" s="101"/>
    <row r="168" ht="15.75" customHeight="1" s="101"/>
    <row r="169" ht="15.75" customHeight="1" s="101"/>
    <row r="170" ht="15.75" customHeight="1" s="101"/>
    <row r="171" ht="15.75" customHeight="1" s="101"/>
    <row r="172" ht="15.75" customHeight="1" s="101"/>
    <row r="173" ht="15.75" customHeight="1" s="101"/>
    <row r="174" ht="15.75" customHeight="1" s="101"/>
    <row r="175" ht="15.75" customHeight="1" s="101"/>
    <row r="176" ht="15.75" customHeight="1" s="101"/>
    <row r="177" ht="15.75" customHeight="1" s="101"/>
    <row r="178" ht="15.75" customHeight="1" s="101"/>
    <row r="179" ht="15.75" customHeight="1" s="101"/>
    <row r="180" ht="15.75" customHeight="1" s="101"/>
    <row r="181" ht="15.75" customHeight="1" s="101"/>
    <row r="182" ht="15.75" customHeight="1" s="101"/>
    <row r="183" ht="15.75" customHeight="1" s="101"/>
    <row r="184" ht="15.75" customHeight="1" s="101"/>
    <row r="185" ht="15.75" customHeight="1" s="101"/>
    <row r="186" ht="15.75" customHeight="1" s="101"/>
    <row r="187" ht="15.75" customHeight="1" s="101"/>
    <row r="188" ht="15.75" customHeight="1" s="101"/>
    <row r="189" ht="15.75" customHeight="1" s="101"/>
    <row r="190" ht="15.75" customHeight="1" s="101"/>
    <row r="191" ht="15.75" customHeight="1" s="101"/>
    <row r="192" ht="15.75" customHeight="1" s="101"/>
    <row r="193" ht="15.75" customHeight="1" s="101"/>
    <row r="194" ht="15.75" customHeight="1" s="101"/>
    <row r="195" ht="15.75" customHeight="1" s="101"/>
    <row r="196" ht="15.75" customHeight="1" s="101"/>
    <row r="197" ht="15.75" customHeight="1" s="101"/>
    <row r="198" ht="15.75" customHeight="1" s="101"/>
    <row r="199" ht="15.75" customHeight="1" s="101"/>
    <row r="200" ht="15.75" customHeight="1" s="101"/>
    <row r="201" ht="15.75" customHeight="1" s="101"/>
    <row r="202" ht="15.75" customHeight="1" s="101"/>
    <row r="203" ht="15.75" customHeight="1" s="101"/>
    <row r="204" ht="15.75" customHeight="1" s="101"/>
    <row r="205" ht="15.75" customHeight="1" s="101"/>
    <row r="206" ht="15.75" customHeight="1" s="101"/>
    <row r="207" ht="15.75" customHeight="1" s="101"/>
    <row r="208" ht="15.75" customHeight="1" s="101"/>
    <row r="209" ht="15.75" customHeight="1" s="101"/>
    <row r="210" ht="15.75" customHeight="1" s="101"/>
    <row r="211" ht="15.75" customHeight="1" s="101"/>
    <row r="212" ht="15.75" customHeight="1" s="101"/>
    <row r="213" ht="15.75" customHeight="1" s="101"/>
    <row r="214" ht="15.75" customHeight="1" s="101"/>
    <row r="215" ht="15.75" customHeight="1" s="101"/>
    <row r="216" ht="15.75" customHeight="1" s="101"/>
    <row r="217" ht="15.75" customHeight="1" s="101"/>
    <row r="218" ht="15.75" customHeight="1" s="101"/>
    <row r="219" ht="15.75" customHeight="1" s="101"/>
    <row r="220" ht="15.75" customHeight="1" s="101"/>
    <row r="221" ht="15.75" customHeight="1" s="101"/>
    <row r="222" ht="15.75" customHeight="1" s="101"/>
    <row r="223" ht="15.75" customHeight="1" s="101"/>
    <row r="224" ht="15.75" customHeight="1" s="101"/>
    <row r="225" ht="15.75" customHeight="1" s="101"/>
    <row r="226" ht="15.75" customHeight="1" s="101"/>
    <row r="227" ht="15.75" customHeight="1" s="101"/>
    <row r="228" ht="15.75" customHeight="1" s="101"/>
    <row r="229" ht="15.75" customHeight="1" s="101"/>
    <row r="230" ht="15.75" customHeight="1" s="101"/>
    <row r="231" ht="15.75" customHeight="1" s="101"/>
    <row r="232" ht="15.75" customHeight="1" s="101"/>
    <row r="233" ht="15.75" customHeight="1" s="101"/>
    <row r="234" ht="15.75" customHeight="1" s="101"/>
    <row r="235" ht="15.75" customHeight="1" s="101"/>
    <row r="236" ht="15.75" customHeight="1" s="101"/>
    <row r="237" ht="15.75" customHeight="1" s="101"/>
    <row r="238" ht="15.75" customHeight="1" s="101"/>
    <row r="239" ht="15.75" customHeight="1" s="101"/>
    <row r="240" ht="15.75" customHeight="1" s="101"/>
    <row r="241" ht="15.75" customHeight="1" s="101"/>
    <row r="242" ht="15.75" customHeight="1" s="101"/>
    <row r="243" ht="15.75" customHeight="1" s="101"/>
    <row r="244" ht="15.75" customHeight="1" s="101"/>
    <row r="245" ht="15.75" customHeight="1" s="101"/>
    <row r="246" ht="15.75" customHeight="1" s="101"/>
    <row r="247" ht="15.75" customHeight="1" s="101"/>
    <row r="248" ht="15.75" customHeight="1" s="101"/>
    <row r="249" ht="15.75" customHeight="1" s="101"/>
    <row r="250" ht="15.75" customHeight="1" s="101"/>
    <row r="251" ht="15.75" customHeight="1" s="101"/>
    <row r="252" ht="15.75" customHeight="1" s="101"/>
    <row r="253" ht="15.75" customHeight="1" s="101"/>
    <row r="254" ht="15.75" customHeight="1" s="101"/>
    <row r="255" ht="15.75" customHeight="1" s="101"/>
    <row r="256" ht="15.75" customHeight="1" s="101"/>
    <row r="257" ht="15.75" customHeight="1" s="101"/>
    <row r="258" ht="15.75" customHeight="1" s="101"/>
    <row r="259" ht="15.75" customHeight="1" s="101"/>
    <row r="260" ht="15.75" customHeight="1" s="101"/>
    <row r="261" ht="15.75" customHeight="1" s="101"/>
    <row r="262" ht="15.75" customHeight="1" s="101"/>
    <row r="263" ht="15.75" customHeight="1" s="101"/>
    <row r="264" ht="15.75" customHeight="1" s="101"/>
    <row r="265" ht="15.75" customHeight="1" s="101"/>
    <row r="266" ht="15.75" customHeight="1" s="101"/>
    <row r="267" ht="15.75" customHeight="1" s="101"/>
    <row r="268" ht="15.75" customHeight="1" s="101"/>
    <row r="269" ht="15.75" customHeight="1" s="101"/>
    <row r="270" ht="15.75" customHeight="1" s="101"/>
    <row r="271" ht="15.75" customHeight="1" s="101"/>
    <row r="272" ht="15.75" customHeight="1" s="101"/>
    <row r="273" ht="15.75" customHeight="1" s="101"/>
    <row r="274" ht="15.75" customHeight="1" s="101"/>
    <row r="275" ht="15.75" customHeight="1" s="101"/>
    <row r="276" ht="15.75" customHeight="1" s="101"/>
    <row r="277" ht="15.75" customHeight="1" s="101"/>
    <row r="278" ht="15.75" customHeight="1" s="101"/>
    <row r="279" ht="15.75" customHeight="1" s="101"/>
    <row r="280" ht="15.75" customHeight="1" s="101"/>
    <row r="281" ht="15.75" customHeight="1" s="101"/>
    <row r="282" ht="15.75" customHeight="1" s="101"/>
    <row r="283" ht="15.75" customHeight="1" s="101"/>
    <row r="284" ht="15.75" customHeight="1" s="101"/>
    <row r="285" ht="15.75" customHeight="1" s="101"/>
    <row r="286" ht="15.75" customHeight="1" s="101"/>
    <row r="287" ht="15.75" customHeight="1" s="101"/>
    <row r="288" ht="15.75" customHeight="1" s="101"/>
    <row r="289" ht="15.75" customHeight="1" s="101"/>
    <row r="290" ht="15.75" customHeight="1" s="101"/>
    <row r="291" ht="15.75" customHeight="1" s="101"/>
    <row r="292" ht="15.75" customHeight="1" s="101"/>
    <row r="293" ht="15.75" customHeight="1" s="101"/>
    <row r="294" ht="15.75" customHeight="1" s="101"/>
    <row r="295" ht="15.75" customHeight="1" s="101"/>
    <row r="296" ht="15.75" customHeight="1" s="101"/>
    <row r="297" ht="15.75" customHeight="1" s="101"/>
    <row r="298" ht="15.75" customHeight="1" s="101"/>
    <row r="299" ht="15.75" customHeight="1" s="101"/>
    <row r="300" ht="15.75" customHeight="1" s="101"/>
    <row r="301" ht="15.75" customHeight="1" s="101"/>
    <row r="302" ht="15.75" customHeight="1" s="101"/>
    <row r="303" ht="15.75" customHeight="1" s="101"/>
    <row r="304" ht="15.75" customHeight="1" s="101"/>
    <row r="305" ht="15.75" customHeight="1" s="101"/>
    <row r="306" ht="15.75" customHeight="1" s="101"/>
    <row r="307" ht="15.75" customHeight="1" s="101"/>
    <row r="308" ht="15.75" customHeight="1" s="101"/>
    <row r="309" ht="15.75" customHeight="1" s="101"/>
    <row r="310" ht="15.75" customHeight="1" s="101"/>
    <row r="311" ht="15.75" customHeight="1" s="101"/>
    <row r="312" ht="15.75" customHeight="1" s="101"/>
    <row r="313" ht="15.75" customHeight="1" s="101"/>
    <row r="314" ht="15.75" customHeight="1" s="101"/>
    <row r="315" ht="15.75" customHeight="1" s="101"/>
    <row r="316" ht="15.75" customHeight="1" s="101"/>
    <row r="317" ht="15.75" customHeight="1" s="101"/>
    <row r="318" ht="15.75" customHeight="1" s="101"/>
    <row r="319" ht="15.75" customHeight="1" s="101"/>
    <row r="320" ht="15.75" customHeight="1" s="101"/>
    <row r="321" ht="15.75" customHeight="1" s="101"/>
    <row r="322" ht="15.75" customHeight="1" s="101"/>
    <row r="323" ht="15.75" customHeight="1" s="101"/>
    <row r="324" ht="15.75" customHeight="1" s="101"/>
    <row r="325" ht="15.75" customHeight="1" s="101"/>
    <row r="326" ht="15.75" customHeight="1" s="101"/>
    <row r="327" ht="15.75" customHeight="1" s="101"/>
    <row r="328" ht="15.75" customHeight="1" s="101"/>
    <row r="329" ht="15.75" customHeight="1" s="101"/>
    <row r="330" ht="15.75" customHeight="1" s="101"/>
    <row r="331" ht="15.75" customHeight="1" s="101"/>
    <row r="332" ht="15.75" customHeight="1" s="101"/>
    <row r="333" ht="15.75" customHeight="1" s="101"/>
    <row r="334" ht="15.75" customHeight="1" s="101"/>
    <row r="335" ht="15.75" customHeight="1" s="101"/>
    <row r="336" ht="15.75" customHeight="1" s="101"/>
    <row r="337" ht="15.75" customHeight="1" s="101"/>
    <row r="338" ht="15.75" customHeight="1" s="101"/>
    <row r="339" ht="15.75" customHeight="1" s="101"/>
    <row r="340" ht="15.75" customHeight="1" s="101"/>
    <row r="341" ht="15.75" customHeight="1" s="101"/>
    <row r="342" ht="15.75" customHeight="1" s="101"/>
    <row r="343" ht="15.75" customHeight="1" s="101"/>
    <row r="344" ht="15.75" customHeight="1" s="101"/>
    <row r="345" ht="15.75" customHeight="1" s="101"/>
    <row r="346" ht="15.75" customHeight="1" s="101"/>
    <row r="347" ht="15.75" customHeight="1" s="101"/>
    <row r="348" ht="15.75" customHeight="1" s="101"/>
    <row r="349" ht="15.75" customHeight="1" s="101"/>
    <row r="350" ht="15.75" customHeight="1" s="101"/>
    <row r="351" ht="15.75" customHeight="1" s="101"/>
    <row r="352" ht="15.75" customHeight="1" s="101"/>
    <row r="353" ht="15.75" customHeight="1" s="101"/>
    <row r="354" ht="15.75" customHeight="1" s="101"/>
    <row r="355" ht="15.75" customHeight="1" s="101"/>
    <row r="356" ht="15.75" customHeight="1" s="101"/>
    <row r="357" ht="15.75" customHeight="1" s="101"/>
    <row r="358" ht="15.75" customHeight="1" s="101"/>
    <row r="359" ht="15.75" customHeight="1" s="101"/>
    <row r="360" ht="15.75" customHeight="1" s="101"/>
    <row r="361" ht="15.75" customHeight="1" s="101"/>
    <row r="362" ht="15.75" customHeight="1" s="101"/>
    <row r="363" ht="15.75" customHeight="1" s="101"/>
    <row r="364" ht="15.75" customHeight="1" s="101"/>
    <row r="365" ht="15.75" customHeight="1" s="101"/>
    <row r="366" ht="15.75" customHeight="1" s="101"/>
    <row r="367" ht="15.75" customHeight="1" s="101"/>
    <row r="368" ht="15.75" customHeight="1" s="101"/>
    <row r="369" ht="15.75" customHeight="1" s="101"/>
    <row r="370" ht="15.75" customHeight="1" s="101"/>
    <row r="371" ht="15.75" customHeight="1" s="101"/>
    <row r="372" ht="15.75" customHeight="1" s="101"/>
    <row r="373" ht="15.75" customHeight="1" s="101"/>
    <row r="374" ht="15.75" customHeight="1" s="101"/>
    <row r="375" ht="15.75" customHeight="1" s="101"/>
    <row r="376" ht="15.75" customHeight="1" s="101"/>
    <row r="377" ht="15.75" customHeight="1" s="101"/>
    <row r="378" ht="15.75" customHeight="1" s="101"/>
    <row r="379" ht="15.75" customHeight="1" s="101"/>
    <row r="380" ht="15.75" customHeight="1" s="101"/>
    <row r="381" ht="15.75" customHeight="1" s="101"/>
    <row r="382" ht="15.75" customHeight="1" s="101"/>
    <row r="383" ht="15.75" customHeight="1" s="101"/>
    <row r="384" ht="15.75" customHeight="1" s="101"/>
    <row r="385" ht="15.75" customHeight="1" s="101"/>
    <row r="386" ht="15.75" customHeight="1" s="101"/>
    <row r="387" ht="15.75" customHeight="1" s="101"/>
    <row r="388" ht="15.75" customHeight="1" s="101"/>
    <row r="389" ht="15.75" customHeight="1" s="101"/>
    <row r="390" ht="15.75" customHeight="1" s="101"/>
    <row r="391" ht="15.75" customHeight="1" s="101"/>
    <row r="392" ht="15.75" customHeight="1" s="101"/>
    <row r="393" ht="15.75" customHeight="1" s="101"/>
    <row r="394" ht="15.75" customHeight="1" s="101"/>
    <row r="395" ht="15.75" customHeight="1" s="101"/>
    <row r="396" ht="15.75" customHeight="1" s="101"/>
    <row r="397" ht="15.75" customHeight="1" s="101"/>
    <row r="398" ht="15.75" customHeight="1" s="101"/>
    <row r="399" ht="15.75" customHeight="1" s="101"/>
    <row r="400" ht="15.75" customHeight="1" s="101"/>
    <row r="401" ht="15.75" customHeight="1" s="101"/>
    <row r="402" ht="15.75" customHeight="1" s="101"/>
    <row r="403" ht="15.75" customHeight="1" s="101"/>
    <row r="404" ht="15.75" customHeight="1" s="101"/>
    <row r="405" ht="15.75" customHeight="1" s="101"/>
    <row r="406" ht="15.75" customHeight="1" s="101"/>
    <row r="407" ht="15.75" customHeight="1" s="101"/>
    <row r="408" ht="15.75" customHeight="1" s="101"/>
    <row r="409" ht="15.75" customHeight="1" s="101"/>
    <row r="410" ht="15.75" customHeight="1" s="101"/>
    <row r="411" ht="15.75" customHeight="1" s="101"/>
    <row r="412" ht="15.75" customHeight="1" s="101"/>
    <row r="413" ht="15.75" customHeight="1" s="101"/>
    <row r="414" ht="15.75" customHeight="1" s="101"/>
    <row r="415" ht="15.75" customHeight="1" s="101"/>
    <row r="416" ht="15.75" customHeight="1" s="101"/>
    <row r="417" ht="15.75" customHeight="1" s="101"/>
    <row r="418" ht="15.75" customHeight="1" s="101"/>
    <row r="419" ht="15.75" customHeight="1" s="101"/>
    <row r="420" ht="15.75" customHeight="1" s="101"/>
    <row r="421" ht="15.75" customHeight="1" s="101"/>
    <row r="422" ht="15.75" customHeight="1" s="101"/>
    <row r="423" ht="15.75" customHeight="1" s="101"/>
    <row r="424" ht="15.75" customHeight="1" s="101"/>
    <row r="425" ht="15.75" customHeight="1" s="101"/>
    <row r="426" ht="15.75" customHeight="1" s="101"/>
    <row r="427" ht="15.75" customHeight="1" s="101"/>
    <row r="428" ht="15.75" customHeight="1" s="101"/>
    <row r="429" ht="15.75" customHeight="1" s="101"/>
    <row r="430" ht="15.75" customHeight="1" s="101"/>
    <row r="431" ht="15.75" customHeight="1" s="101"/>
    <row r="432" ht="15.75" customHeight="1" s="101"/>
    <row r="433" ht="15.75" customHeight="1" s="101"/>
    <row r="434" ht="15.75" customHeight="1" s="101"/>
    <row r="435" ht="15.75" customHeight="1" s="101"/>
    <row r="436" ht="15.75" customHeight="1" s="101"/>
    <row r="437" ht="15.75" customHeight="1" s="101"/>
    <row r="438" ht="15.75" customHeight="1" s="101"/>
    <row r="439" ht="15.75" customHeight="1" s="101"/>
    <row r="440" ht="15.75" customHeight="1" s="101"/>
    <row r="441" ht="15.75" customHeight="1" s="101"/>
    <row r="442" ht="15.75" customHeight="1" s="101"/>
    <row r="443" ht="15.75" customHeight="1" s="101"/>
    <row r="444" ht="15.75" customHeight="1" s="101"/>
    <row r="445" ht="15.75" customHeight="1" s="101"/>
    <row r="446" ht="15.75" customHeight="1" s="101"/>
    <row r="447" ht="15.75" customHeight="1" s="101"/>
    <row r="448" ht="15.75" customHeight="1" s="101"/>
    <row r="449" ht="15.75" customHeight="1" s="101"/>
    <row r="450" ht="15.75" customHeight="1" s="101"/>
    <row r="451" ht="15.75" customHeight="1" s="101"/>
    <row r="452" ht="15.75" customHeight="1" s="101"/>
    <row r="453" ht="15.75" customHeight="1" s="101"/>
    <row r="454" ht="15.75" customHeight="1" s="101"/>
    <row r="455" ht="15.75" customHeight="1" s="101"/>
    <row r="456" ht="15.75" customHeight="1" s="101"/>
    <row r="457" ht="15.75" customHeight="1" s="101"/>
    <row r="458" ht="15.75" customHeight="1" s="101"/>
    <row r="459" ht="15.75" customHeight="1" s="101"/>
    <row r="460" ht="15.75" customHeight="1" s="101"/>
    <row r="461" ht="15.75" customHeight="1" s="101"/>
    <row r="462" ht="15.75" customHeight="1" s="101"/>
    <row r="463" ht="15.75" customHeight="1" s="101"/>
    <row r="464" ht="15.75" customHeight="1" s="101"/>
    <row r="465" ht="15.75" customHeight="1" s="101"/>
    <row r="466" ht="15.75" customHeight="1" s="101"/>
    <row r="467" ht="15.75" customHeight="1" s="101"/>
    <row r="468" ht="15.75" customHeight="1" s="101"/>
    <row r="469" ht="15.75" customHeight="1" s="101"/>
    <row r="470" ht="15.75" customHeight="1" s="101"/>
    <row r="471" ht="15.75" customHeight="1" s="101"/>
    <row r="472" ht="15.75" customHeight="1" s="101"/>
    <row r="473" ht="15.75" customHeight="1" s="101"/>
    <row r="474" ht="15.75" customHeight="1" s="101"/>
    <row r="475" ht="15.75" customHeight="1" s="101"/>
    <row r="476" ht="15.75" customHeight="1" s="101"/>
    <row r="477" ht="15.75" customHeight="1" s="101"/>
    <row r="478" ht="15.75" customHeight="1" s="101"/>
    <row r="479" ht="15.75" customHeight="1" s="101"/>
    <row r="480" ht="15.75" customHeight="1" s="101"/>
    <row r="481" ht="15.75" customHeight="1" s="101"/>
    <row r="482" ht="15.75" customHeight="1" s="101"/>
    <row r="483" ht="15.75" customHeight="1" s="101"/>
    <row r="484" ht="15.75" customHeight="1" s="101"/>
    <row r="485" ht="15.75" customHeight="1" s="101"/>
    <row r="486" ht="15.75" customHeight="1" s="101"/>
    <row r="487" ht="15.75" customHeight="1" s="101"/>
    <row r="488" ht="15.75" customHeight="1" s="101"/>
    <row r="489" ht="15.75" customHeight="1" s="101"/>
    <row r="490" ht="15.75" customHeight="1" s="101"/>
    <row r="491" ht="15.75" customHeight="1" s="101"/>
    <row r="492" ht="15.75" customHeight="1" s="101"/>
    <row r="493" ht="15.75" customHeight="1" s="101"/>
    <row r="494" ht="15.75" customHeight="1" s="101"/>
    <row r="495" ht="15.75" customHeight="1" s="101"/>
    <row r="496" ht="15.75" customHeight="1" s="101"/>
    <row r="497" ht="15.75" customHeight="1" s="101"/>
    <row r="498" ht="15.75" customHeight="1" s="101"/>
    <row r="499" ht="15.75" customHeight="1" s="101"/>
    <row r="500" ht="15.75" customHeight="1" s="101"/>
    <row r="501" ht="15.75" customHeight="1" s="101"/>
    <row r="502" ht="15.75" customHeight="1" s="101"/>
    <row r="503" ht="15.75" customHeight="1" s="101"/>
    <row r="504" ht="15.75" customHeight="1" s="101"/>
    <row r="505" ht="15.75" customHeight="1" s="101"/>
    <row r="506" ht="15.75" customHeight="1" s="101"/>
    <row r="507" ht="15.75" customHeight="1" s="101"/>
    <row r="508" ht="15.75" customHeight="1" s="101"/>
    <row r="509" ht="15.75" customHeight="1" s="101"/>
    <row r="510" ht="15.75" customHeight="1" s="101"/>
    <row r="511" ht="15.75" customHeight="1" s="101"/>
    <row r="512" ht="15.75" customHeight="1" s="101"/>
    <row r="513" ht="15.75" customHeight="1" s="101"/>
    <row r="514" ht="15.75" customHeight="1" s="101"/>
    <row r="515" ht="15.75" customHeight="1" s="101"/>
    <row r="516" ht="15.75" customHeight="1" s="101"/>
    <row r="517" ht="15.75" customHeight="1" s="101"/>
    <row r="518" ht="15.75" customHeight="1" s="101"/>
    <row r="519" ht="15.75" customHeight="1" s="101"/>
    <row r="520" ht="15.75" customHeight="1" s="101"/>
    <row r="521" ht="15.75" customHeight="1" s="101"/>
    <row r="522" ht="15.75" customHeight="1" s="101"/>
    <row r="523" ht="15.75" customHeight="1" s="101"/>
    <row r="524" ht="15.75" customHeight="1" s="101"/>
    <row r="525" ht="15.75" customHeight="1" s="101"/>
    <row r="526" ht="15.75" customHeight="1" s="101"/>
    <row r="527" ht="15.75" customHeight="1" s="101"/>
    <row r="528" ht="15.75" customHeight="1" s="101"/>
    <row r="529" ht="15.75" customHeight="1" s="101"/>
    <row r="530" ht="15.75" customHeight="1" s="101"/>
    <row r="531" ht="15.75" customHeight="1" s="101"/>
    <row r="532" ht="15.75" customHeight="1" s="101"/>
    <row r="533" ht="15.75" customHeight="1" s="101"/>
    <row r="534" ht="15.75" customHeight="1" s="101"/>
    <row r="535" ht="15.75" customHeight="1" s="101"/>
    <row r="536" ht="15.75" customHeight="1" s="101"/>
    <row r="537" ht="15.75" customHeight="1" s="101"/>
    <row r="538" ht="15.75" customHeight="1" s="101"/>
    <row r="539" ht="15.75" customHeight="1" s="101"/>
    <row r="540" ht="15.75" customHeight="1" s="101"/>
    <row r="541" ht="15.75" customHeight="1" s="101"/>
    <row r="542" ht="15.75" customHeight="1" s="101"/>
    <row r="543" ht="15.75" customHeight="1" s="101"/>
    <row r="544" ht="15.75" customHeight="1" s="101"/>
    <row r="545" ht="15.75" customHeight="1" s="101"/>
    <row r="546" ht="15.75" customHeight="1" s="101"/>
    <row r="547" ht="15.75" customHeight="1" s="101"/>
    <row r="548" ht="15.75" customHeight="1" s="101"/>
    <row r="549" ht="15.75" customHeight="1" s="101"/>
    <row r="550" ht="15.75" customHeight="1" s="101"/>
    <row r="551" ht="15.75" customHeight="1" s="101"/>
    <row r="552" ht="15.75" customHeight="1" s="101"/>
    <row r="553" ht="15.75" customHeight="1" s="101"/>
    <row r="554" ht="15.75" customHeight="1" s="101"/>
    <row r="555" ht="15.75" customHeight="1" s="101"/>
    <row r="556" ht="15.75" customHeight="1" s="101"/>
    <row r="557" ht="15.75" customHeight="1" s="101"/>
    <row r="558" ht="15.75" customHeight="1" s="101"/>
    <row r="559" ht="15.75" customHeight="1" s="101"/>
    <row r="560" ht="15.75" customHeight="1" s="101"/>
    <row r="561" ht="15.75" customHeight="1" s="101"/>
    <row r="562" ht="15.75" customHeight="1" s="101"/>
    <row r="563" ht="15.75" customHeight="1" s="101"/>
    <row r="564" ht="15.75" customHeight="1" s="101"/>
    <row r="565" ht="15.75" customHeight="1" s="101"/>
    <row r="566" ht="15.75" customHeight="1" s="101"/>
    <row r="567" ht="15.75" customHeight="1" s="101"/>
    <row r="568" ht="15.75" customHeight="1" s="101"/>
    <row r="569" ht="15.75" customHeight="1" s="101"/>
    <row r="570" ht="15.75" customHeight="1" s="101"/>
    <row r="571" ht="15.75" customHeight="1" s="101"/>
    <row r="572" ht="15.75" customHeight="1" s="101"/>
    <row r="573" ht="15.75" customHeight="1" s="101"/>
    <row r="574" ht="15.75" customHeight="1" s="101"/>
    <row r="575" ht="15.75" customHeight="1" s="101"/>
    <row r="576" ht="15.75" customHeight="1" s="101"/>
    <row r="577" ht="15.75" customHeight="1" s="101"/>
    <row r="578" ht="15.75" customHeight="1" s="101"/>
    <row r="579" ht="15.75" customHeight="1" s="101"/>
    <row r="580" ht="15.75" customHeight="1" s="101"/>
    <row r="581" ht="15.75" customHeight="1" s="101"/>
    <row r="582" ht="15.75" customHeight="1" s="101"/>
    <row r="583" ht="15.75" customHeight="1" s="101"/>
    <row r="584" ht="15.75" customHeight="1" s="101"/>
    <row r="585" ht="15.75" customHeight="1" s="101"/>
    <row r="586" ht="15.75" customHeight="1" s="101"/>
    <row r="587" ht="15.75" customHeight="1" s="101"/>
    <row r="588" ht="15.75" customHeight="1" s="101"/>
    <row r="589" ht="15.75" customHeight="1" s="101"/>
    <row r="590" ht="15.75" customHeight="1" s="101"/>
    <row r="591" ht="15.75" customHeight="1" s="101"/>
    <row r="592" ht="15.75" customHeight="1" s="101"/>
    <row r="593" ht="15.75" customHeight="1" s="101"/>
    <row r="594" ht="15.75" customHeight="1" s="101"/>
    <row r="595" ht="15.75" customHeight="1" s="101"/>
    <row r="596" ht="15.75" customHeight="1" s="101"/>
    <row r="597" ht="15.75" customHeight="1" s="101"/>
    <row r="598" ht="15.75" customHeight="1" s="101"/>
    <row r="599" ht="15.75" customHeight="1" s="101"/>
    <row r="600" ht="15.75" customHeight="1" s="101"/>
    <row r="601" ht="15.75" customHeight="1" s="101"/>
    <row r="602" ht="15.75" customHeight="1" s="101"/>
    <row r="603" ht="15.75" customHeight="1" s="101"/>
    <row r="604" ht="15.75" customHeight="1" s="101"/>
    <row r="605" ht="15.75" customHeight="1" s="101"/>
    <row r="606" ht="15.75" customHeight="1" s="101"/>
    <row r="607" ht="15.75" customHeight="1" s="101"/>
    <row r="608" ht="15.75" customHeight="1" s="101"/>
    <row r="609" ht="15.75" customHeight="1" s="101"/>
    <row r="610" ht="15.75" customHeight="1" s="101"/>
    <row r="611" ht="15.75" customHeight="1" s="101"/>
    <row r="612" ht="15.75" customHeight="1" s="101"/>
    <row r="613" ht="15.75" customHeight="1" s="101"/>
    <row r="614" ht="15.75" customHeight="1" s="101"/>
    <row r="615" ht="15.75" customHeight="1" s="101"/>
    <row r="616" ht="15.75" customHeight="1" s="101"/>
    <row r="617" ht="15.75" customHeight="1" s="101"/>
    <row r="618" ht="15.75" customHeight="1" s="101"/>
    <row r="619" ht="15.75" customHeight="1" s="101"/>
    <row r="620" ht="15.75" customHeight="1" s="101"/>
    <row r="621" ht="15.75" customHeight="1" s="101"/>
    <row r="622" ht="15.75" customHeight="1" s="101"/>
    <row r="623" ht="15.75" customHeight="1" s="101"/>
    <row r="624" ht="15.75" customHeight="1" s="101"/>
    <row r="625" ht="15.75" customHeight="1" s="101"/>
    <row r="626" ht="15.75" customHeight="1" s="101"/>
    <row r="627" ht="15.75" customHeight="1" s="101"/>
    <row r="628" ht="15.75" customHeight="1" s="101"/>
    <row r="629" ht="15.75" customHeight="1" s="101"/>
    <row r="630" ht="15.75" customHeight="1" s="101"/>
    <row r="631" ht="15.75" customHeight="1" s="101"/>
    <row r="632" ht="15.75" customHeight="1" s="101"/>
    <row r="633" ht="15.75" customHeight="1" s="101"/>
    <row r="634" ht="15.75" customHeight="1" s="101"/>
    <row r="635" ht="15.75" customHeight="1" s="101"/>
    <row r="636" ht="15.75" customHeight="1" s="101"/>
    <row r="637" ht="15.75" customHeight="1" s="101"/>
    <row r="638" ht="15.75" customHeight="1" s="101"/>
    <row r="639" ht="15.75" customHeight="1" s="101"/>
    <row r="640" ht="15.75" customHeight="1" s="101"/>
    <row r="641" ht="15.75" customHeight="1" s="101"/>
    <row r="642" ht="15.75" customHeight="1" s="101"/>
    <row r="643" ht="15.75" customHeight="1" s="101"/>
    <row r="644" ht="15.75" customHeight="1" s="101"/>
    <row r="645" ht="15.75" customHeight="1" s="101"/>
    <row r="646" ht="15.75" customHeight="1" s="101"/>
    <row r="647" ht="15.75" customHeight="1" s="101"/>
    <row r="648" ht="15.75" customHeight="1" s="101"/>
    <row r="649" ht="15.75" customHeight="1" s="101"/>
    <row r="650" ht="15.75" customHeight="1" s="101"/>
    <row r="651" ht="15.75" customHeight="1" s="101"/>
    <row r="652" ht="15.75" customHeight="1" s="101"/>
    <row r="653" ht="15.75" customHeight="1" s="101"/>
    <row r="654" ht="15.75" customHeight="1" s="101"/>
    <row r="655" ht="15.75" customHeight="1" s="101"/>
    <row r="656" ht="15.75" customHeight="1" s="101"/>
    <row r="657" ht="15.75" customHeight="1" s="101"/>
    <row r="658" ht="15.75" customHeight="1" s="101"/>
    <row r="659" ht="15.75" customHeight="1" s="101"/>
    <row r="660" ht="15.75" customHeight="1" s="101"/>
    <row r="661" ht="15.75" customHeight="1" s="101"/>
    <row r="662" ht="15.75" customHeight="1" s="101"/>
    <row r="663" ht="15.75" customHeight="1" s="101"/>
    <row r="664" ht="15.75" customHeight="1" s="101"/>
    <row r="665" ht="15.75" customHeight="1" s="101"/>
    <row r="666" ht="15.75" customHeight="1" s="101"/>
    <row r="667" ht="15.75" customHeight="1" s="101"/>
    <row r="668" ht="15.75" customHeight="1" s="101"/>
    <row r="669" ht="15.75" customHeight="1" s="101"/>
    <row r="670" ht="15.75" customHeight="1" s="101"/>
    <row r="671" ht="15.75" customHeight="1" s="101"/>
    <row r="672" ht="15.75" customHeight="1" s="101"/>
    <row r="673" ht="15.75" customHeight="1" s="101"/>
    <row r="674" ht="15.75" customHeight="1" s="101"/>
    <row r="675" ht="15.75" customHeight="1" s="101"/>
    <row r="676" ht="15.75" customHeight="1" s="101"/>
    <row r="677" ht="15.75" customHeight="1" s="101"/>
    <row r="678" ht="15.75" customHeight="1" s="101"/>
    <row r="679" ht="15.75" customHeight="1" s="101"/>
    <row r="680" ht="15.75" customHeight="1" s="101"/>
    <row r="681" ht="15.75" customHeight="1" s="101"/>
    <row r="682" ht="15.75" customHeight="1" s="101"/>
    <row r="683" ht="15.75" customHeight="1" s="101"/>
    <row r="684" ht="15.75" customHeight="1" s="101"/>
    <row r="685" ht="15.75" customHeight="1" s="101"/>
    <row r="686" ht="15.75" customHeight="1" s="101"/>
    <row r="687" ht="15.75" customHeight="1" s="101"/>
    <row r="688" ht="15.75" customHeight="1" s="101"/>
    <row r="689" ht="15.75" customHeight="1" s="101"/>
    <row r="690" ht="15.75" customHeight="1" s="101"/>
    <row r="691" ht="15.75" customHeight="1" s="101"/>
    <row r="692" ht="15.75" customHeight="1" s="101"/>
    <row r="693" ht="15.75" customHeight="1" s="101"/>
    <row r="694" ht="15.75" customHeight="1" s="101"/>
    <row r="695" ht="15.75" customHeight="1" s="101"/>
    <row r="696" ht="15.75" customHeight="1" s="101"/>
    <row r="697" ht="15.75" customHeight="1" s="101"/>
    <row r="698" ht="15.75" customHeight="1" s="101"/>
    <row r="699" ht="15.75" customHeight="1" s="101"/>
    <row r="700" ht="15.75" customHeight="1" s="101"/>
    <row r="701" ht="15.75" customHeight="1" s="101"/>
    <row r="702" ht="15.75" customHeight="1" s="101"/>
    <row r="703" ht="15.75" customHeight="1" s="101"/>
    <row r="704" ht="15.75" customHeight="1" s="101"/>
    <row r="705" ht="15.75" customHeight="1" s="101"/>
    <row r="706" ht="15.75" customHeight="1" s="101"/>
    <row r="707" ht="15.75" customHeight="1" s="101"/>
    <row r="708" ht="15.75" customHeight="1" s="101"/>
    <row r="709" ht="15.75" customHeight="1" s="101"/>
    <row r="710" ht="15.75" customHeight="1" s="101"/>
    <row r="711" ht="15.75" customHeight="1" s="101"/>
    <row r="712" ht="15.75" customHeight="1" s="101"/>
    <row r="713" ht="15.75" customHeight="1" s="101"/>
    <row r="714" ht="15.75" customHeight="1" s="101"/>
    <row r="715" ht="15.75" customHeight="1" s="101"/>
    <row r="716" ht="15.75" customHeight="1" s="101"/>
    <row r="717" ht="15.75" customHeight="1" s="101"/>
    <row r="718" ht="15.75" customHeight="1" s="101"/>
    <row r="719" ht="15.75" customHeight="1" s="101"/>
    <row r="720" ht="15.75" customHeight="1" s="101"/>
    <row r="721" ht="15.75" customHeight="1" s="101"/>
    <row r="722" ht="15.75" customHeight="1" s="101"/>
    <row r="723" ht="15.75" customHeight="1" s="101"/>
    <row r="724" ht="15.75" customHeight="1" s="101"/>
    <row r="725" ht="15.75" customHeight="1" s="101"/>
    <row r="726" ht="15.75" customHeight="1" s="101"/>
    <row r="727" ht="15.75" customHeight="1" s="101"/>
    <row r="728" ht="15.75" customHeight="1" s="101"/>
    <row r="729" ht="15.75" customHeight="1" s="101"/>
    <row r="730" ht="15.75" customHeight="1" s="101"/>
    <row r="731" ht="15.75" customHeight="1" s="101"/>
    <row r="732" ht="15.75" customHeight="1" s="101"/>
    <row r="733" ht="15.75" customHeight="1" s="101"/>
    <row r="734" ht="15.75" customHeight="1" s="101"/>
    <row r="735" ht="15.75" customHeight="1" s="101"/>
    <row r="736" ht="15.75" customHeight="1" s="101"/>
    <row r="737" ht="15.75" customHeight="1" s="101"/>
    <row r="738" ht="15.75" customHeight="1" s="101"/>
    <row r="739" ht="15.75" customHeight="1" s="101"/>
    <row r="740" ht="15.75" customHeight="1" s="101"/>
    <row r="741" ht="15.75" customHeight="1" s="101"/>
    <row r="742" ht="15.75" customHeight="1" s="101"/>
    <row r="743" ht="15.75" customHeight="1" s="101"/>
    <row r="744" ht="15.75" customHeight="1" s="101"/>
    <row r="745" ht="15.75" customHeight="1" s="101"/>
    <row r="746" ht="15.75" customHeight="1" s="101"/>
    <row r="747" ht="15.75" customHeight="1" s="101"/>
    <row r="748" ht="15.75" customHeight="1" s="101"/>
    <row r="749" ht="15.75" customHeight="1" s="101"/>
    <row r="750" ht="15.75" customHeight="1" s="101"/>
    <row r="751" ht="15.75" customHeight="1" s="101"/>
    <row r="752" ht="15.75" customHeight="1" s="101"/>
    <row r="753" ht="15.75" customHeight="1" s="101"/>
    <row r="754" ht="15.75" customHeight="1" s="101"/>
    <row r="755" ht="15.75" customHeight="1" s="101"/>
    <row r="756" ht="15.75" customHeight="1" s="101"/>
    <row r="757" ht="15.75" customHeight="1" s="101"/>
    <row r="758" ht="15.75" customHeight="1" s="101"/>
    <row r="759" ht="15.75" customHeight="1" s="101"/>
    <row r="760" ht="15.75" customHeight="1" s="101"/>
    <row r="761" ht="15.75" customHeight="1" s="101"/>
    <row r="762" ht="15.75" customHeight="1" s="101"/>
    <row r="763" ht="15.75" customHeight="1" s="101"/>
    <row r="764" ht="15.75" customHeight="1" s="101"/>
    <row r="765" ht="15.75" customHeight="1" s="101"/>
    <row r="766" ht="15.75" customHeight="1" s="101"/>
    <row r="767" ht="15.75" customHeight="1" s="101"/>
    <row r="768" ht="15.75" customHeight="1" s="101"/>
    <row r="769" ht="15.75" customHeight="1" s="101"/>
    <row r="770" ht="15.75" customHeight="1" s="101"/>
    <row r="771" ht="15.75" customHeight="1" s="101"/>
    <row r="772" ht="15.75" customHeight="1" s="101"/>
    <row r="773" ht="15.75" customHeight="1" s="101"/>
    <row r="774" ht="15.75" customHeight="1" s="101"/>
    <row r="775" ht="15.75" customHeight="1" s="101"/>
    <row r="776" ht="15.75" customHeight="1" s="101"/>
    <row r="777" ht="15.75" customHeight="1" s="101"/>
    <row r="778" ht="15.75" customHeight="1" s="101"/>
    <row r="779" ht="15.75" customHeight="1" s="101"/>
    <row r="780" ht="15.75" customHeight="1" s="101"/>
    <row r="781" ht="15.75" customHeight="1" s="101"/>
    <row r="782" ht="15.75" customHeight="1" s="101"/>
    <row r="783" ht="15.75" customHeight="1" s="101"/>
    <row r="784" ht="15.75" customHeight="1" s="101"/>
    <row r="785" ht="15.75" customHeight="1" s="101"/>
    <row r="786" ht="15.75" customHeight="1" s="101"/>
    <row r="787" ht="15.75" customHeight="1" s="101"/>
    <row r="788" ht="15.75" customHeight="1" s="101"/>
    <row r="789" ht="15.75" customHeight="1" s="101"/>
    <row r="790" ht="15.75" customHeight="1" s="101"/>
    <row r="791" ht="15.75" customHeight="1" s="101"/>
    <row r="792" ht="15.75" customHeight="1" s="101"/>
    <row r="793" ht="15.75" customHeight="1" s="101"/>
    <row r="794" ht="15.75" customHeight="1" s="101"/>
    <row r="795" ht="15.75" customHeight="1" s="101"/>
    <row r="796" ht="15.75" customHeight="1" s="101"/>
    <row r="797" ht="15.75" customHeight="1" s="101"/>
    <row r="798" ht="15.75" customHeight="1" s="101"/>
    <row r="799" ht="15.75" customHeight="1" s="101"/>
    <row r="800" ht="15.75" customHeight="1" s="101"/>
    <row r="801" ht="15.75" customHeight="1" s="101"/>
    <row r="802" ht="15.75" customHeight="1" s="101"/>
    <row r="803" ht="15.75" customHeight="1" s="101"/>
    <row r="804" ht="15.75" customHeight="1" s="101"/>
    <row r="805" ht="15.75" customHeight="1" s="101"/>
    <row r="806" ht="15.75" customHeight="1" s="101"/>
    <row r="807" ht="15.75" customHeight="1" s="101"/>
    <row r="808" ht="15.75" customHeight="1" s="101"/>
    <row r="809" ht="15.75" customHeight="1" s="101"/>
    <row r="810" ht="15.75" customHeight="1" s="101"/>
    <row r="811" ht="15.75" customHeight="1" s="101"/>
    <row r="812" ht="15.75" customHeight="1" s="101"/>
    <row r="813" ht="15.75" customHeight="1" s="101"/>
    <row r="814" ht="15.75" customHeight="1" s="101"/>
    <row r="815" ht="15.75" customHeight="1" s="101"/>
    <row r="816" ht="15.75" customHeight="1" s="101"/>
    <row r="817" ht="15.75" customHeight="1" s="101"/>
    <row r="818" ht="15.75" customHeight="1" s="101"/>
    <row r="819" ht="15.75" customHeight="1" s="101"/>
    <row r="820" ht="15.75" customHeight="1" s="101"/>
    <row r="821" ht="15.75" customHeight="1" s="101"/>
    <row r="822" ht="15.75" customHeight="1" s="101"/>
    <row r="823" ht="15.75" customHeight="1" s="101"/>
    <row r="824" ht="15.75" customHeight="1" s="101"/>
    <row r="825" ht="15.75" customHeight="1" s="101"/>
    <row r="826" ht="15.75" customHeight="1" s="101"/>
    <row r="827" ht="15.75" customHeight="1" s="101"/>
    <row r="828" ht="15.75" customHeight="1" s="101"/>
    <row r="829" ht="15.75" customHeight="1" s="101"/>
    <row r="830" ht="15.75" customHeight="1" s="101"/>
    <row r="831" ht="15.75" customHeight="1" s="101"/>
    <row r="832" ht="15.75" customHeight="1" s="101"/>
    <row r="833" ht="15.75" customHeight="1" s="101"/>
    <row r="834" ht="15.75" customHeight="1" s="101"/>
    <row r="835" ht="15.75" customHeight="1" s="101"/>
    <row r="836" ht="15.75" customHeight="1" s="101"/>
    <row r="837" ht="15.75" customHeight="1" s="101"/>
    <row r="838" ht="15.75" customHeight="1" s="101"/>
    <row r="839" ht="15.75" customHeight="1" s="101"/>
    <row r="840" ht="15.75" customHeight="1" s="101"/>
    <row r="841" ht="15.75" customHeight="1" s="101"/>
    <row r="842" ht="15.75" customHeight="1" s="101"/>
    <row r="843" ht="15.75" customHeight="1" s="101"/>
    <row r="844" ht="15.75" customHeight="1" s="101"/>
    <row r="845" ht="15.75" customHeight="1" s="101"/>
    <row r="846" ht="15.75" customHeight="1" s="101"/>
    <row r="847" ht="15.75" customHeight="1" s="101"/>
    <row r="848" ht="15.75" customHeight="1" s="101"/>
    <row r="849" ht="15.75" customHeight="1" s="101"/>
    <row r="850" ht="15.75" customHeight="1" s="101"/>
    <row r="851" ht="15.75" customHeight="1" s="101"/>
    <row r="852" ht="15.75" customHeight="1" s="101"/>
    <row r="853" ht="15.75" customHeight="1" s="101"/>
    <row r="854" ht="15.75" customHeight="1" s="101"/>
    <row r="855" ht="15.75" customHeight="1" s="101"/>
    <row r="856" ht="15.75" customHeight="1" s="101"/>
    <row r="857" ht="15.75" customHeight="1" s="101"/>
    <row r="858" ht="15.75" customHeight="1" s="101"/>
    <row r="859" ht="15.75" customHeight="1" s="101"/>
    <row r="860" ht="15.75" customHeight="1" s="101"/>
    <row r="861" ht="15.75" customHeight="1" s="101"/>
    <row r="862" ht="15.75" customHeight="1" s="101"/>
    <row r="863" ht="15.75" customHeight="1" s="101"/>
    <row r="864" ht="15.75" customHeight="1" s="101"/>
    <row r="865" ht="15.75" customHeight="1" s="101"/>
    <row r="866" ht="15.75" customHeight="1" s="101"/>
    <row r="867" ht="15.75" customHeight="1" s="101"/>
    <row r="868" ht="15.75" customHeight="1" s="101"/>
    <row r="869" ht="15.75" customHeight="1" s="101"/>
    <row r="870" ht="15.75" customHeight="1" s="101"/>
    <row r="871" ht="15.75" customHeight="1" s="101"/>
    <row r="872" ht="15.75" customHeight="1" s="101"/>
    <row r="873" ht="15.75" customHeight="1" s="101"/>
    <row r="874" ht="15.75" customHeight="1" s="101"/>
    <row r="875" ht="15.75" customHeight="1" s="101"/>
    <row r="876" ht="15.75" customHeight="1" s="101"/>
    <row r="877" ht="15.75" customHeight="1" s="101"/>
    <row r="878" ht="15.75" customHeight="1" s="101"/>
    <row r="879" ht="15.75" customHeight="1" s="101"/>
    <row r="880" ht="15.75" customHeight="1" s="101"/>
    <row r="881" ht="15.75" customHeight="1" s="101"/>
    <row r="882" ht="15.75" customHeight="1" s="101"/>
    <row r="883" ht="15.75" customHeight="1" s="101"/>
    <row r="884" ht="15.75" customHeight="1" s="101"/>
    <row r="885" ht="15.75" customHeight="1" s="101"/>
    <row r="886" ht="15.75" customHeight="1" s="101"/>
    <row r="887" ht="15.75" customHeight="1" s="101"/>
    <row r="888" ht="15.75" customHeight="1" s="101"/>
    <row r="889" ht="15.75" customHeight="1" s="101"/>
    <row r="890" ht="15.75" customHeight="1" s="101"/>
    <row r="891" ht="15.75" customHeight="1" s="101"/>
    <row r="892" ht="15.75" customHeight="1" s="101"/>
    <row r="893" ht="15.75" customHeight="1" s="101"/>
    <row r="894" ht="15.75" customHeight="1" s="101"/>
    <row r="895" ht="15.75" customHeight="1" s="101"/>
    <row r="896" ht="15.75" customHeight="1" s="101"/>
    <row r="897" ht="15.75" customHeight="1" s="101"/>
    <row r="898" ht="15.75" customHeight="1" s="101"/>
    <row r="899" ht="15.75" customHeight="1" s="101"/>
    <row r="900" ht="15.75" customHeight="1" s="101"/>
    <row r="901" ht="15.75" customHeight="1" s="101"/>
    <row r="902" ht="15.75" customHeight="1" s="101"/>
    <row r="903" ht="15.75" customHeight="1" s="101"/>
    <row r="904" ht="15.75" customHeight="1" s="101"/>
    <row r="905" ht="15.75" customHeight="1" s="101"/>
    <row r="906" ht="15.75" customHeight="1" s="101"/>
    <row r="907" ht="15.75" customHeight="1" s="101"/>
    <row r="908" ht="15.75" customHeight="1" s="101"/>
    <row r="909" ht="15.75" customHeight="1" s="101"/>
    <row r="910" ht="15.75" customHeight="1" s="101"/>
    <row r="911" ht="15.75" customHeight="1" s="101"/>
    <row r="912" ht="15.75" customHeight="1" s="101"/>
    <row r="913" ht="15.75" customHeight="1" s="101"/>
    <row r="914" ht="15.75" customHeight="1" s="101"/>
    <row r="915" ht="15.75" customHeight="1" s="101"/>
    <row r="916" ht="15.75" customHeight="1" s="101"/>
    <row r="917" ht="15.75" customHeight="1" s="101"/>
    <row r="918" ht="15.75" customHeight="1" s="101"/>
    <row r="919" ht="15.75" customHeight="1" s="101"/>
    <row r="920" ht="15.75" customHeight="1" s="101"/>
    <row r="921" ht="15.75" customHeight="1" s="101"/>
    <row r="922" ht="15.75" customHeight="1" s="101"/>
    <row r="923" ht="15.75" customHeight="1" s="101"/>
    <row r="924" ht="15.75" customHeight="1" s="101"/>
    <row r="925" ht="15.75" customHeight="1" s="101"/>
    <row r="926" ht="15.75" customHeight="1" s="101"/>
    <row r="927" ht="15.75" customHeight="1" s="101"/>
    <row r="928" ht="15.75" customHeight="1" s="101"/>
    <row r="929" ht="15.75" customHeight="1" s="101"/>
    <row r="930" ht="15.75" customHeight="1" s="101"/>
    <row r="931" ht="15.75" customHeight="1" s="101"/>
    <row r="932" ht="15.75" customHeight="1" s="101"/>
    <row r="933" ht="15.75" customHeight="1" s="101"/>
    <row r="934" ht="15.75" customHeight="1" s="101"/>
    <row r="935" ht="15.75" customHeight="1" s="101"/>
    <row r="936" ht="15.75" customHeight="1" s="101"/>
    <row r="937" ht="15.75" customHeight="1" s="101"/>
    <row r="938" ht="15.75" customHeight="1" s="101"/>
    <row r="939" ht="15.75" customHeight="1" s="101"/>
    <row r="940" ht="15.75" customHeight="1" s="101"/>
    <row r="941" ht="15.75" customHeight="1" s="101"/>
    <row r="942" ht="15.75" customHeight="1" s="101"/>
    <row r="943" ht="15.75" customHeight="1" s="101"/>
    <row r="944" ht="15.75" customHeight="1" s="101"/>
    <row r="945" ht="15.75" customHeight="1" s="101"/>
    <row r="946" ht="15.75" customHeight="1" s="101"/>
    <row r="947" ht="15.75" customHeight="1" s="101"/>
    <row r="948" ht="15.75" customHeight="1" s="101"/>
    <row r="949" ht="15.75" customHeight="1" s="101"/>
    <row r="950" ht="15.75" customHeight="1" s="101"/>
    <row r="951" ht="15.75" customHeight="1" s="101"/>
    <row r="952" ht="15.75" customHeight="1" s="101"/>
    <row r="953" ht="15.75" customHeight="1" s="101"/>
    <row r="954" ht="15.75" customHeight="1" s="101"/>
    <row r="955" ht="15.75" customHeight="1" s="101"/>
    <row r="956" ht="15.75" customHeight="1" s="101"/>
    <row r="957" ht="15.75" customHeight="1" s="101"/>
    <row r="958" ht="15.75" customHeight="1" s="101"/>
    <row r="959" ht="15.75" customHeight="1" s="101"/>
    <row r="960" ht="15.75" customHeight="1" s="101"/>
    <row r="961" ht="15.75" customHeight="1" s="101"/>
    <row r="962" ht="15.75" customHeight="1" s="101"/>
    <row r="963" ht="15.75" customHeight="1" s="101"/>
    <row r="964" ht="15.75" customHeight="1" s="101"/>
    <row r="965" ht="15.75" customHeight="1" s="101"/>
    <row r="966" ht="15.75" customHeight="1" s="101"/>
    <row r="967" ht="15.75" customHeight="1" s="101"/>
    <row r="968" ht="15.75" customHeight="1" s="101"/>
    <row r="969" ht="15.75" customHeight="1" s="101"/>
    <row r="970" ht="15.75" customHeight="1" s="101"/>
    <row r="971" ht="15.75" customHeight="1" s="101"/>
    <row r="972" ht="15.75" customHeight="1" s="101"/>
    <row r="973" ht="15.75" customHeight="1" s="101"/>
    <row r="974" ht="15.75" customHeight="1" s="101"/>
    <row r="975" ht="15.75" customHeight="1" s="101"/>
    <row r="976" ht="15.75" customHeight="1" s="101"/>
    <row r="977" ht="15.75" customHeight="1" s="101"/>
    <row r="978" ht="15.75" customHeight="1" s="101"/>
    <row r="979" ht="15.75" customHeight="1" s="101"/>
    <row r="980" ht="15.75" customHeight="1" s="101"/>
    <row r="981" ht="15.75" customHeight="1" s="101"/>
    <row r="982" ht="15.75" customHeight="1" s="101"/>
    <row r="983" ht="15.75" customHeight="1" s="101"/>
    <row r="984" ht="15.75" customHeight="1" s="101"/>
    <row r="985" ht="15.75" customHeight="1" s="101"/>
    <row r="986" ht="15.75" customHeight="1" s="101"/>
    <row r="987" ht="15.75" customHeight="1" s="101"/>
    <row r="988" ht="15.75" customHeight="1" s="101"/>
    <row r="989" ht="15.75" customHeight="1" s="101"/>
    <row r="990" ht="15.75" customHeight="1" s="101"/>
    <row r="991" ht="15.75" customHeight="1" s="101"/>
    <row r="992" ht="15.75" customHeight="1" s="101"/>
    <row r="993" ht="15.75" customHeight="1" s="101"/>
    <row r="994" ht="15.75" customHeight="1" s="101"/>
    <row r="995" ht="15.75" customHeight="1" s="101"/>
    <row r="996" ht="15.75" customHeight="1" s="101"/>
    <row r="997" ht="15.75" customHeight="1" s="101"/>
    <row r="998" ht="15.75" customHeight="1" s="101"/>
    <row r="999" ht="15.75" customHeight="1" s="101"/>
    <row r="1000" ht="15.75" customHeight="1" s="101"/>
  </sheetData>
  <mergeCells count="14">
    <mergeCell ref="A20:B20"/>
    <mergeCell ref="J3:K3"/>
    <mergeCell ref="B5:D5"/>
    <mergeCell ref="D3:G3"/>
    <mergeCell ref="A17:D17"/>
    <mergeCell ref="J7:K7"/>
    <mergeCell ref="D2:K2"/>
    <mergeCell ref="A19:K19"/>
    <mergeCell ref="G5:H5"/>
    <mergeCell ref="A7:D7"/>
    <mergeCell ref="F17:H17"/>
    <mergeCell ref="F7:H7"/>
    <mergeCell ref="A1:K1"/>
    <mergeCell ref="J17:K17"/>
  </mergeCells>
  <dataValidations count="3">
    <dataValidation sqref="B3" showDropDown="0" showInputMessage="0" showErrorMessage="0" allowBlank="1" type="list">
      <formula1>"2025,2026,2027,2028,2029,2030"</formula1>
    </dataValidation>
    <dataValidation sqref="B2" showDropDown="0" showInputMessage="0" showErrorMessage="0" allowBlank="1" type="list">
      <formula1>Config!$I$2:$I$13</formula1>
    </dataValidation>
    <dataValidation sqref="I3" showDropDown="0" showInputMessage="0" showErrorMessage="0" allowBlank="0" type="list">
      <formula1>"C1,C2,C1+C2,Anual"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tabColor rgb="FF27AE60"/>
    <outlinePr summaryBelow="1" summaryRight="1"/>
    <pageSetUpPr/>
  </sheetPr>
  <dimension ref="A1:H98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101" min="1" max="2"/>
    <col width="32" customWidth="1" style="101" min="3" max="3"/>
    <col width="18" customWidth="1" style="101" min="4" max="4"/>
    <col width="14" customWidth="1" style="101" min="5" max="5"/>
    <col width="10" customWidth="1" style="101" min="6" max="6"/>
    <col width="16" customWidth="1" style="101" min="7" max="7"/>
    <col width="14" customWidth="1" style="101" min="8" max="8"/>
    <col width="8.710000000000001" customWidth="1" style="101" min="9" max="26"/>
  </cols>
  <sheetData>
    <row r="1" ht="25.5" customHeight="1" s="101">
      <c r="A1" s="70" t="inlineStr">
        <is>
          <t>Tipo</t>
        </is>
      </c>
      <c r="B1" s="71" t="inlineStr">
        <is>
          <t>Data</t>
        </is>
      </c>
      <c r="C1" s="70" t="inlineStr">
        <is>
          <t>Descrição</t>
        </is>
      </c>
      <c r="D1" s="70" t="inlineStr">
        <is>
          <t>Categoria</t>
        </is>
      </c>
      <c r="E1" s="70" t="inlineStr">
        <is>
          <t>Responsável</t>
        </is>
      </c>
      <c r="F1" s="70" t="inlineStr">
        <is>
          <t>Ciclo</t>
        </is>
      </c>
      <c r="G1" s="70" t="inlineStr">
        <is>
          <t>Valor (R$)</t>
        </is>
      </c>
      <c r="H1" s="70" t="inlineStr">
        <is>
          <t>Status</t>
        </is>
      </c>
    </row>
    <row r="2">
      <c r="A2" s="77" t="inlineStr">
        <is>
          <t>Receita</t>
        </is>
      </c>
      <c r="B2" s="78" t="n">
        <v>46204</v>
      </c>
      <c r="C2" s="77" t="inlineStr">
        <is>
          <t>Salário</t>
        </is>
      </c>
      <c r="D2" s="77" t="inlineStr">
        <is>
          <t>Salário</t>
        </is>
      </c>
      <c r="E2" s="77" t="inlineStr">
        <is>
          <t>Sá</t>
        </is>
      </c>
      <c r="F2" s="77" t="n">
        <v>1</v>
      </c>
      <c r="G2" s="79" t="n">
        <v>2000</v>
      </c>
      <c r="H2" s="77" t="inlineStr">
        <is>
          <t>Recebido</t>
        </is>
      </c>
    </row>
    <row r="3">
      <c r="A3" s="77" t="inlineStr">
        <is>
          <t>Receita</t>
        </is>
      </c>
      <c r="B3" s="78" t="n">
        <v>46206.625</v>
      </c>
      <c r="C3" s="77" t="inlineStr">
        <is>
          <t>13° Salário - Jun</t>
        </is>
      </c>
      <c r="D3" s="77" t="inlineStr">
        <is>
          <t>13° Salário - Jun</t>
        </is>
      </c>
      <c r="E3" s="77" t="inlineStr">
        <is>
          <t>Will</t>
        </is>
      </c>
      <c r="F3" s="77" t="n">
        <v>1</v>
      </c>
      <c r="G3" s="79" t="n">
        <v>1687.8</v>
      </c>
      <c r="H3" s="77" t="inlineStr">
        <is>
          <t>Recebido</t>
        </is>
      </c>
    </row>
    <row r="4">
      <c r="A4" s="77" t="inlineStr">
        <is>
          <t>Receita</t>
        </is>
      </c>
      <c r="B4" s="78" t="n">
        <v>46206.625</v>
      </c>
      <c r="C4" s="77" t="inlineStr">
        <is>
          <t>Salário</t>
        </is>
      </c>
      <c r="D4" s="77" t="inlineStr">
        <is>
          <t>Salário</t>
        </is>
      </c>
      <c r="E4" s="77" t="inlineStr">
        <is>
          <t>Will</t>
        </is>
      </c>
      <c r="F4" s="77" t="n">
        <v>1</v>
      </c>
      <c r="G4" s="79" t="n">
        <v>966.37</v>
      </c>
      <c r="H4" s="77" t="inlineStr">
        <is>
          <t>Recebido</t>
        </is>
      </c>
    </row>
    <row r="5">
      <c r="A5" s="77" t="inlineStr">
        <is>
          <t>Despesa</t>
        </is>
      </c>
      <c r="B5" s="78" t="n">
        <v>46205.625</v>
      </c>
      <c r="C5" s="77" t="inlineStr">
        <is>
          <t>Luz</t>
        </is>
      </c>
      <c r="D5" s="77" t="inlineStr">
        <is>
          <t>Luz</t>
        </is>
      </c>
      <c r="E5" s="77" t="inlineStr">
        <is>
          <t>Ambos</t>
        </is>
      </c>
      <c r="F5" s="77" t="n">
        <v>1</v>
      </c>
      <c r="G5" s="79" t="n">
        <v>164.62</v>
      </c>
      <c r="H5" s="77" t="inlineStr">
        <is>
          <t>Pago</t>
        </is>
      </c>
    </row>
    <row r="6">
      <c r="A6" s="77" t="inlineStr">
        <is>
          <t>Despesa</t>
        </is>
      </c>
      <c r="B6" s="78" t="n">
        <v>46205.625</v>
      </c>
      <c r="C6" s="77" t="inlineStr">
        <is>
          <t>Cartão Will</t>
        </is>
      </c>
      <c r="D6" s="77" t="inlineStr">
        <is>
          <t>Cartão Will</t>
        </is>
      </c>
      <c r="E6" s="77" t="inlineStr">
        <is>
          <t>Will</t>
        </is>
      </c>
      <c r="F6" s="77" t="n">
        <v>1</v>
      </c>
      <c r="G6" s="79" t="n">
        <v>250</v>
      </c>
      <c r="H6" s="77" t="inlineStr">
        <is>
          <t>Pago</t>
        </is>
      </c>
    </row>
    <row r="7">
      <c r="A7" s="77" t="inlineStr">
        <is>
          <t>Despesa</t>
        </is>
      </c>
      <c r="B7" s="78" t="n">
        <v>46206.625</v>
      </c>
      <c r="C7" s="77" t="inlineStr">
        <is>
          <t>Ração</t>
        </is>
      </c>
      <c r="D7" s="77" t="inlineStr">
        <is>
          <t>Pets</t>
        </is>
      </c>
      <c r="E7" s="77" t="inlineStr">
        <is>
          <t>Ambos</t>
        </is>
      </c>
      <c r="F7" s="77" t="n">
        <v>1</v>
      </c>
      <c r="G7" s="79" t="n">
        <v>189.9</v>
      </c>
      <c r="H7" s="77" t="inlineStr">
        <is>
          <t>Pago</t>
        </is>
      </c>
    </row>
    <row r="8" ht="15.75" customHeight="1" s="101">
      <c r="A8" s="77" t="inlineStr">
        <is>
          <t>Despesa</t>
        </is>
      </c>
      <c r="B8" s="78" t="n">
        <v>46206.625</v>
      </c>
      <c r="C8" s="77" t="inlineStr">
        <is>
          <t>Alimentação</t>
        </is>
      </c>
      <c r="D8" s="77" t="inlineStr">
        <is>
          <t>Alimentação</t>
        </is>
      </c>
      <c r="E8" s="77" t="inlineStr">
        <is>
          <t>Will</t>
        </is>
      </c>
      <c r="F8" s="77" t="n">
        <v>1</v>
      </c>
      <c r="G8" s="79" t="n">
        <v>24</v>
      </c>
      <c r="H8" s="77" t="inlineStr">
        <is>
          <t>Pago</t>
        </is>
      </c>
    </row>
    <row r="9" ht="15.75" customHeight="1" s="101">
      <c r="A9" s="77" t="inlineStr">
        <is>
          <t>Despesa</t>
        </is>
      </c>
      <c r="B9" s="78" t="n">
        <v>46206.625</v>
      </c>
      <c r="C9" s="77" t="inlineStr">
        <is>
          <t>Transporte</t>
        </is>
      </c>
      <c r="D9" s="77" t="inlineStr">
        <is>
          <t>Transporte</t>
        </is>
      </c>
      <c r="E9" s="77" t="inlineStr">
        <is>
          <t>Will</t>
        </is>
      </c>
      <c r="F9" s="77" t="n">
        <v>1</v>
      </c>
      <c r="G9" s="79" t="n">
        <v>100</v>
      </c>
      <c r="H9" s="77" t="inlineStr">
        <is>
          <t>Pago</t>
        </is>
      </c>
    </row>
    <row r="10" ht="15.75" customHeight="1" s="101">
      <c r="A10" s="77" t="inlineStr">
        <is>
          <t>Receita</t>
        </is>
      </c>
      <c r="B10" s="78" t="n">
        <v>46207.625</v>
      </c>
      <c r="C10" s="77" t="inlineStr">
        <is>
          <t>Outros</t>
        </is>
      </c>
      <c r="D10" s="77" t="inlineStr">
        <is>
          <t>Outros</t>
        </is>
      </c>
      <c r="E10" s="77" t="inlineStr">
        <is>
          <t>Will</t>
        </is>
      </c>
      <c r="F10" s="77" t="n">
        <v>1</v>
      </c>
      <c r="G10" s="79" t="n">
        <v>190</v>
      </c>
      <c r="H10" s="77" t="inlineStr">
        <is>
          <t>Recebido</t>
        </is>
      </c>
    </row>
    <row r="11" ht="15.75" customHeight="1" s="101">
      <c r="A11" s="77" t="inlineStr">
        <is>
          <t>Despesa</t>
        </is>
      </c>
      <c r="B11" s="78" t="n">
        <v>46207.625</v>
      </c>
      <c r="C11" s="77" t="inlineStr">
        <is>
          <t>Ração</t>
        </is>
      </c>
      <c r="D11" s="77" t="inlineStr">
        <is>
          <t>Pets</t>
        </is>
      </c>
      <c r="E11" s="77" t="inlineStr">
        <is>
          <t>Ambos</t>
        </is>
      </c>
      <c r="F11" s="77" t="n">
        <v>1</v>
      </c>
      <c r="G11" s="79" t="n">
        <v>49.17</v>
      </c>
      <c r="H11" s="77" t="inlineStr">
        <is>
          <t>Pago</t>
        </is>
      </c>
    </row>
    <row r="12" ht="15.75" customHeight="1" s="101">
      <c r="A12" s="77" t="inlineStr">
        <is>
          <t>Despesa</t>
        </is>
      </c>
      <c r="B12" s="78" t="n">
        <v>46207.625</v>
      </c>
      <c r="C12" s="77" t="inlineStr">
        <is>
          <t>Sem Parar - TAG</t>
        </is>
      </c>
      <c r="D12" s="77" t="inlineStr">
        <is>
          <t>Sem Parar - TAG</t>
        </is>
      </c>
      <c r="E12" s="77" t="inlineStr">
        <is>
          <t>Ambos</t>
        </is>
      </c>
      <c r="F12" s="77" t="n">
        <v>1</v>
      </c>
      <c r="G12" s="79" t="n">
        <v>129.7</v>
      </c>
      <c r="H12" s="77" t="inlineStr">
        <is>
          <t>Pago</t>
        </is>
      </c>
    </row>
    <row r="13" ht="15.75" customHeight="1" s="101">
      <c r="A13" s="77" t="inlineStr">
        <is>
          <t>Receita</t>
        </is>
      </c>
      <c r="B13" s="78" t="n">
        <v>46207.625</v>
      </c>
      <c r="C13" s="77" t="inlineStr">
        <is>
          <t>Outros</t>
        </is>
      </c>
      <c r="D13" s="77" t="inlineStr">
        <is>
          <t>Outros</t>
        </is>
      </c>
      <c r="E13" s="77" t="inlineStr">
        <is>
          <t>Ambos</t>
        </is>
      </c>
      <c r="F13" s="77" t="n">
        <v>1</v>
      </c>
      <c r="G13" s="79" t="n">
        <v>3.18</v>
      </c>
      <c r="H13" s="77" t="inlineStr">
        <is>
          <t>Recebido</t>
        </is>
      </c>
    </row>
    <row r="14" ht="15.75" customHeight="1" s="101">
      <c r="A14" s="77" t="inlineStr">
        <is>
          <t>Despesa</t>
        </is>
      </c>
      <c r="B14" s="78" t="n">
        <v>46209.625</v>
      </c>
      <c r="C14" s="77" t="inlineStr">
        <is>
          <t>Condominio</t>
        </is>
      </c>
      <c r="D14" s="77" t="inlineStr">
        <is>
          <t>Condominio</t>
        </is>
      </c>
      <c r="E14" s="77" t="inlineStr">
        <is>
          <t>Will</t>
        </is>
      </c>
      <c r="F14" s="77" t="n">
        <v>1</v>
      </c>
      <c r="G14" s="79" t="n">
        <v>353.85</v>
      </c>
      <c r="H14" s="77" t="inlineStr">
        <is>
          <t>Pago</t>
        </is>
      </c>
    </row>
    <row r="15" ht="15.75" customHeight="1" s="101">
      <c r="A15" s="77" t="inlineStr">
        <is>
          <t>Despesa</t>
        </is>
      </c>
      <c r="B15" s="78" t="n">
        <v>46209.625</v>
      </c>
      <c r="C15" s="77" t="inlineStr">
        <is>
          <t>Aluguel</t>
        </is>
      </c>
      <c r="D15" s="77" t="inlineStr">
        <is>
          <t>Aluguel</t>
        </is>
      </c>
      <c r="E15" s="77" t="inlineStr">
        <is>
          <t>Ambos</t>
        </is>
      </c>
      <c r="F15" s="77" t="n">
        <v>1</v>
      </c>
      <c r="G15" s="79" t="n">
        <v>1713.65</v>
      </c>
      <c r="H15" s="77" t="inlineStr">
        <is>
          <t>Pago</t>
        </is>
      </c>
    </row>
    <row r="16" ht="15.75" customHeight="1" s="101">
      <c r="A16" s="77" t="inlineStr">
        <is>
          <t>Despesa</t>
        </is>
      </c>
      <c r="B16" s="78" t="n">
        <v>46209.625</v>
      </c>
      <c r="C16" s="77" t="inlineStr">
        <is>
          <t>Gás</t>
        </is>
      </c>
      <c r="D16" s="77" t="inlineStr">
        <is>
          <t>Gás</t>
        </is>
      </c>
      <c r="E16" s="77" t="inlineStr">
        <is>
          <t>Ambos</t>
        </is>
      </c>
      <c r="F16" s="77" t="n">
        <v>1</v>
      </c>
      <c r="G16" s="79" t="n">
        <v>23.61</v>
      </c>
      <c r="H16" s="77" t="inlineStr">
        <is>
          <t>Pago</t>
        </is>
      </c>
    </row>
    <row r="17" ht="15.75" customHeight="1" s="101">
      <c r="A17" s="77" t="inlineStr">
        <is>
          <t>Despesa</t>
        </is>
      </c>
      <c r="B17" s="78" t="n">
        <v>46209.625</v>
      </c>
      <c r="C17" s="77" t="inlineStr">
        <is>
          <t>Lazer</t>
        </is>
      </c>
      <c r="D17" s="77" t="inlineStr">
        <is>
          <t>Lazer</t>
        </is>
      </c>
      <c r="E17" s="77" t="inlineStr">
        <is>
          <t>Will</t>
        </is>
      </c>
      <c r="F17" s="77" t="n">
        <v>1</v>
      </c>
      <c r="G17" s="79" t="n">
        <v>51.2</v>
      </c>
      <c r="H17" s="77" t="inlineStr">
        <is>
          <t>Pago</t>
        </is>
      </c>
    </row>
    <row r="18" ht="15.75" customHeight="1" s="101">
      <c r="A18" s="77" t="inlineStr">
        <is>
          <t>Receita</t>
        </is>
      </c>
      <c r="B18" s="78" t="n">
        <v>46218.625</v>
      </c>
      <c r="C18" s="77" t="inlineStr">
        <is>
          <t>Adiantamento</t>
        </is>
      </c>
      <c r="D18" s="77" t="inlineStr">
        <is>
          <t>Adiantamento</t>
        </is>
      </c>
      <c r="E18" s="77" t="inlineStr">
        <is>
          <t>Will</t>
        </is>
      </c>
      <c r="F18" s="77" t="n">
        <v>2</v>
      </c>
      <c r="G18" s="79" t="n">
        <v>1350</v>
      </c>
      <c r="H18" s="77" t="inlineStr">
        <is>
          <t>A Pagar</t>
        </is>
      </c>
    </row>
    <row r="19" ht="15.75" customHeight="1" s="101">
      <c r="A19" s="77" t="inlineStr">
        <is>
          <t>Receita</t>
        </is>
      </c>
      <c r="B19" s="78" t="n">
        <v>46218.625</v>
      </c>
      <c r="C19" s="77" t="inlineStr">
        <is>
          <t>Adiantamento</t>
        </is>
      </c>
      <c r="D19" s="77" t="inlineStr">
        <is>
          <t>Adiantamento</t>
        </is>
      </c>
      <c r="E19" s="77" t="inlineStr">
        <is>
          <t>Sá</t>
        </is>
      </c>
      <c r="F19" s="77" t="n">
        <v>2</v>
      </c>
      <c r="G19" s="79" t="n">
        <v>1190</v>
      </c>
      <c r="H19" s="77" t="inlineStr">
        <is>
          <t>A Pagar</t>
        </is>
      </c>
    </row>
    <row r="20" ht="15.75" customHeight="1" s="101">
      <c r="A20" s="77" t="inlineStr">
        <is>
          <t>Despesa</t>
        </is>
      </c>
      <c r="B20" s="78" t="n">
        <v>46218.625</v>
      </c>
      <c r="C20" s="77" t="inlineStr">
        <is>
          <t>Internet</t>
        </is>
      </c>
      <c r="D20" s="77" t="inlineStr">
        <is>
          <t>Internet</t>
        </is>
      </c>
      <c r="E20" s="77" t="inlineStr">
        <is>
          <t>Ambos</t>
        </is>
      </c>
      <c r="F20" s="77" t="n">
        <v>2</v>
      </c>
      <c r="G20" s="79" t="n">
        <v>145</v>
      </c>
      <c r="H20" s="77" t="inlineStr">
        <is>
          <t>A Pagar</t>
        </is>
      </c>
    </row>
    <row r="21" ht="15.75" customHeight="1" s="101">
      <c r="A21" s="77" t="inlineStr">
        <is>
          <t>Despesa</t>
        </is>
      </c>
      <c r="B21" s="78" t="n">
        <v>46218.625</v>
      </c>
      <c r="C21" s="77" t="inlineStr">
        <is>
          <t>Cartão Will</t>
        </is>
      </c>
      <c r="D21" s="77" t="inlineStr">
        <is>
          <t>Cartão Will</t>
        </is>
      </c>
      <c r="E21" s="77" t="inlineStr">
        <is>
          <t>Will</t>
        </is>
      </c>
      <c r="F21" s="77" t="n">
        <v>2</v>
      </c>
      <c r="G21" s="79" t="n">
        <v>484.47</v>
      </c>
      <c r="H21" s="77" t="inlineStr">
        <is>
          <t>A Pagar</t>
        </is>
      </c>
    </row>
    <row r="22" ht="15.75" customHeight="1" s="101">
      <c r="A22" s="77" t="inlineStr">
        <is>
          <t>Despesa</t>
        </is>
      </c>
      <c r="B22" s="78" t="n">
        <v>46209.625</v>
      </c>
      <c r="C22" s="77" t="inlineStr">
        <is>
          <t>Gás</t>
        </is>
      </c>
      <c r="D22" s="77" t="inlineStr">
        <is>
          <t>Gás</t>
        </is>
      </c>
      <c r="E22" s="77" t="inlineStr">
        <is>
          <t>Ambos</t>
        </is>
      </c>
      <c r="F22" s="77" t="n">
        <v>2</v>
      </c>
      <c r="G22" s="79" t="n">
        <v>18.88</v>
      </c>
      <c r="H22" s="77" t="inlineStr">
        <is>
          <t>A Pagar</t>
        </is>
      </c>
    </row>
    <row r="23" ht="15.75" customHeight="1" s="101">
      <c r="A23" s="77" t="inlineStr">
        <is>
          <t>Despesa</t>
        </is>
      </c>
      <c r="B23" s="78" t="n">
        <v>46218.625</v>
      </c>
      <c r="C23" s="77" t="inlineStr">
        <is>
          <t>Pets</t>
        </is>
      </c>
      <c r="D23" s="77" t="inlineStr">
        <is>
          <t>Pets</t>
        </is>
      </c>
      <c r="E23" s="77" t="inlineStr">
        <is>
          <t>Ambos</t>
        </is>
      </c>
      <c r="F23" s="77" t="n">
        <v>2</v>
      </c>
      <c r="G23" s="79" t="n">
        <v>130</v>
      </c>
      <c r="H23" s="77" t="inlineStr">
        <is>
          <t>A Pagar</t>
        </is>
      </c>
    </row>
    <row r="24" ht="15.75" customHeight="1" s="101">
      <c r="A24" s="77" t="n"/>
      <c r="B24" s="78" t="n"/>
      <c r="C24" s="77" t="n"/>
      <c r="D24" s="77" t="n"/>
      <c r="E24" s="77" t="n"/>
      <c r="F24" s="77" t="n"/>
      <c r="G24" s="79" t="n"/>
      <c r="H24" s="77" t="n"/>
    </row>
    <row r="25" ht="15.75" customHeight="1" s="101">
      <c r="A25" s="77" t="n"/>
      <c r="B25" s="78" t="n"/>
      <c r="C25" s="77" t="n"/>
      <c r="D25" s="77" t="n"/>
      <c r="E25" s="77" t="n"/>
      <c r="F25" s="77" t="n"/>
      <c r="G25" s="79" t="n"/>
      <c r="H25" s="77" t="n"/>
    </row>
    <row r="26" ht="15.75" customHeight="1" s="101">
      <c r="A26" s="77" t="n"/>
      <c r="B26" s="78" t="n"/>
      <c r="C26" s="77" t="n"/>
      <c r="D26" s="77" t="n"/>
      <c r="E26" s="77" t="n"/>
      <c r="F26" s="77" t="n"/>
      <c r="G26" s="79" t="n"/>
      <c r="H26" s="77" t="n"/>
    </row>
    <row r="27" ht="15.75" customHeight="1" s="101">
      <c r="A27" s="77" t="n"/>
      <c r="B27" s="78" t="n"/>
      <c r="C27" s="77" t="n"/>
      <c r="D27" s="77" t="n"/>
      <c r="E27" s="77" t="n"/>
      <c r="F27" s="77" t="n"/>
      <c r="G27" s="79" t="n"/>
      <c r="H27" s="77" t="n"/>
    </row>
    <row r="28" ht="15.75" customHeight="1" s="101">
      <c r="A28" s="77" t="n"/>
      <c r="B28" s="78" t="n"/>
      <c r="C28" s="77" t="n"/>
      <c r="D28" s="77" t="n"/>
      <c r="E28" s="77" t="n"/>
      <c r="F28" s="77" t="n"/>
      <c r="G28" s="79" t="n"/>
      <c r="H28" s="77" t="n"/>
    </row>
    <row r="29" ht="15.75" customHeight="1" s="101">
      <c r="A29" s="77" t="n"/>
      <c r="B29" s="78" t="n"/>
      <c r="C29" s="77" t="n"/>
      <c r="D29" s="77" t="n"/>
      <c r="E29" s="77" t="n"/>
      <c r="F29" s="77" t="n"/>
      <c r="G29" s="79" t="n"/>
      <c r="H29" s="77" t="n"/>
    </row>
    <row r="30" ht="15.75" customHeight="1" s="101">
      <c r="A30" s="77" t="n"/>
      <c r="B30" s="78" t="n"/>
      <c r="C30" s="77" t="n"/>
      <c r="D30" s="77" t="n"/>
      <c r="E30" s="77" t="n"/>
      <c r="F30" s="77" t="n"/>
      <c r="G30" s="79" t="n"/>
      <c r="H30" s="77" t="n"/>
    </row>
    <row r="31" ht="15.75" customHeight="1" s="101">
      <c r="A31" s="77" t="n"/>
      <c r="B31" s="78" t="n"/>
      <c r="C31" s="77" t="n"/>
      <c r="D31" s="77" t="n"/>
      <c r="E31" s="77" t="n"/>
      <c r="F31" s="77" t="n"/>
      <c r="G31" s="79" t="n"/>
      <c r="H31" s="77" t="n"/>
    </row>
    <row r="32" ht="15.75" customHeight="1" s="101">
      <c r="A32" s="77" t="n"/>
      <c r="B32" s="78" t="n"/>
      <c r="C32" s="77" t="n"/>
      <c r="D32" s="77" t="n"/>
      <c r="E32" s="77" t="n"/>
      <c r="F32" s="77" t="n"/>
      <c r="G32" s="79" t="n"/>
      <c r="H32" s="77" t="n"/>
    </row>
    <row r="33" ht="15.75" customHeight="1" s="101">
      <c r="A33" s="77" t="n"/>
      <c r="B33" s="78" t="n"/>
      <c r="C33" s="77" t="n"/>
      <c r="D33" s="77" t="n"/>
      <c r="E33" s="77" t="n"/>
      <c r="F33" s="77" t="n"/>
      <c r="G33" s="79" t="n"/>
      <c r="H33" s="77" t="n"/>
    </row>
    <row r="34" ht="15.75" customHeight="1" s="101">
      <c r="A34" s="77" t="n"/>
      <c r="B34" s="78" t="n"/>
      <c r="C34" s="77" t="n"/>
      <c r="D34" s="77" t="n"/>
      <c r="E34" s="77" t="n"/>
      <c r="F34" s="77" t="n"/>
      <c r="G34" s="79" t="n"/>
      <c r="H34" s="77" t="n"/>
    </row>
    <row r="35" ht="15.75" customHeight="1" s="101">
      <c r="A35" s="77" t="n"/>
      <c r="B35" s="78" t="n"/>
      <c r="C35" s="77" t="n"/>
      <c r="D35" s="77" t="n"/>
      <c r="E35" s="77" t="n"/>
      <c r="F35" s="77" t="n"/>
      <c r="G35" s="79" t="n"/>
      <c r="H35" s="77" t="n"/>
    </row>
    <row r="36" ht="15.75" customHeight="1" s="101">
      <c r="A36" s="77" t="n"/>
      <c r="B36" s="78" t="n"/>
      <c r="C36" s="77" t="n"/>
      <c r="D36" s="77" t="n"/>
      <c r="E36" s="77" t="n"/>
      <c r="F36" s="77" t="n"/>
      <c r="G36" s="79" t="n"/>
      <c r="H36" s="77" t="n"/>
    </row>
    <row r="37" ht="15.75" customHeight="1" s="101">
      <c r="A37" s="77" t="n"/>
      <c r="B37" s="78" t="n"/>
      <c r="C37" s="77" t="n"/>
      <c r="D37" s="77" t="n"/>
      <c r="E37" s="77" t="n"/>
      <c r="F37" s="77" t="n"/>
      <c r="G37" s="79" t="n"/>
      <c r="H37" s="77" t="n"/>
    </row>
    <row r="38" ht="15.75" customHeight="1" s="101">
      <c r="A38" s="77" t="n"/>
      <c r="B38" s="78" t="n"/>
      <c r="C38" s="77" t="n"/>
      <c r="D38" s="77" t="n"/>
      <c r="E38" s="77" t="n"/>
      <c r="F38" s="77" t="n"/>
      <c r="G38" s="79" t="n"/>
      <c r="H38" s="77" t="n"/>
    </row>
    <row r="39" ht="15.75" customHeight="1" s="101">
      <c r="A39" s="77" t="n"/>
      <c r="B39" s="78" t="n"/>
      <c r="C39" s="77" t="n"/>
      <c r="D39" s="77" t="n"/>
      <c r="E39" s="77" t="n"/>
      <c r="F39" s="77" t="n"/>
      <c r="G39" s="79" t="n"/>
      <c r="H39" s="77" t="n"/>
    </row>
    <row r="40" ht="15.75" customHeight="1" s="101">
      <c r="A40" s="77" t="n"/>
      <c r="B40" s="78" t="n"/>
      <c r="C40" s="77" t="n"/>
      <c r="D40" s="77" t="n"/>
      <c r="E40" s="77" t="n"/>
      <c r="F40" s="77" t="n"/>
      <c r="G40" s="79" t="n"/>
      <c r="H40" s="77" t="n"/>
    </row>
    <row r="41" ht="15.75" customHeight="1" s="101">
      <c r="A41" s="77" t="n"/>
      <c r="B41" s="78" t="n"/>
      <c r="C41" s="77" t="n"/>
      <c r="D41" s="77" t="n"/>
      <c r="E41" s="77" t="n"/>
      <c r="F41" s="77" t="n"/>
      <c r="G41" s="79" t="n"/>
      <c r="H41" s="77" t="n"/>
    </row>
    <row r="42" ht="15.75" customHeight="1" s="101">
      <c r="A42" s="77" t="n"/>
      <c r="B42" s="78" t="n"/>
      <c r="C42" s="77" t="n"/>
      <c r="D42" s="77" t="n"/>
      <c r="E42" s="77" t="n"/>
      <c r="F42" s="77" t="n"/>
      <c r="G42" s="79" t="n"/>
      <c r="H42" s="77" t="n"/>
    </row>
    <row r="43" ht="15.75" customHeight="1" s="101">
      <c r="A43" s="77" t="n"/>
      <c r="B43" s="78" t="n"/>
      <c r="C43" s="77" t="n"/>
      <c r="D43" s="77" t="n"/>
      <c r="E43" s="77" t="n"/>
      <c r="F43" s="77" t="n"/>
      <c r="G43" s="79" t="n"/>
      <c r="H43" s="77" t="n"/>
    </row>
    <row r="44" ht="15.75" customHeight="1" s="101">
      <c r="A44" s="77" t="n"/>
      <c r="B44" s="78" t="n"/>
      <c r="C44" s="77" t="n"/>
      <c r="D44" s="77" t="n"/>
      <c r="E44" s="77" t="n"/>
      <c r="F44" s="77" t="n"/>
      <c r="G44" s="79" t="n"/>
      <c r="H44" s="77" t="n"/>
    </row>
    <row r="45" ht="15.75" customHeight="1" s="101">
      <c r="A45" s="77" t="n"/>
      <c r="B45" s="78" t="n"/>
      <c r="C45" s="77" t="n"/>
      <c r="D45" s="77" t="n"/>
      <c r="E45" s="77" t="n"/>
      <c r="F45" s="77" t="n"/>
      <c r="G45" s="79" t="n"/>
      <c r="H45" s="77" t="n"/>
    </row>
    <row r="46" ht="15.75" customHeight="1" s="101">
      <c r="A46" s="77" t="n"/>
      <c r="B46" s="78" t="n"/>
      <c r="C46" s="77" t="n"/>
      <c r="D46" s="77" t="n"/>
      <c r="E46" s="77" t="n"/>
      <c r="F46" s="77" t="n"/>
      <c r="G46" s="79" t="n"/>
      <c r="H46" s="77" t="n"/>
    </row>
    <row r="47" ht="15.75" customHeight="1" s="101">
      <c r="A47" s="77" t="n"/>
      <c r="B47" s="78" t="n"/>
      <c r="C47" s="77" t="n"/>
      <c r="D47" s="77" t="n"/>
      <c r="E47" s="77" t="n"/>
      <c r="F47" s="77" t="n"/>
      <c r="G47" s="79" t="n"/>
      <c r="H47" s="77" t="n"/>
    </row>
    <row r="48" ht="15.75" customHeight="1" s="101">
      <c r="A48" s="77" t="n"/>
      <c r="B48" s="78" t="n"/>
      <c r="C48" s="77" t="n"/>
      <c r="D48" s="77" t="n"/>
      <c r="E48" s="77" t="n"/>
      <c r="F48" s="77" t="n"/>
      <c r="G48" s="79" t="n"/>
      <c r="H48" s="77" t="n"/>
    </row>
    <row r="49" ht="15.75" customHeight="1" s="101">
      <c r="A49" s="77" t="n"/>
      <c r="B49" s="78" t="n"/>
      <c r="C49" s="77" t="n"/>
      <c r="D49" s="77" t="n"/>
      <c r="E49" s="77" t="n"/>
      <c r="F49" s="77" t="n"/>
      <c r="G49" s="79" t="n"/>
      <c r="H49" s="77" t="n"/>
    </row>
    <row r="50" ht="15.75" customHeight="1" s="101">
      <c r="A50" s="77" t="n"/>
      <c r="B50" s="78" t="n"/>
      <c r="C50" s="77" t="n"/>
      <c r="D50" s="77" t="n"/>
      <c r="E50" s="77" t="n"/>
      <c r="F50" s="77" t="n"/>
      <c r="G50" s="79" t="n"/>
      <c r="H50" s="77" t="n"/>
    </row>
    <row r="51" ht="15.75" customHeight="1" s="101">
      <c r="A51" s="77" t="n"/>
      <c r="B51" s="78" t="n"/>
      <c r="C51" s="77" t="n"/>
      <c r="D51" s="77" t="n"/>
      <c r="E51" s="77" t="n"/>
      <c r="F51" s="77" t="n"/>
      <c r="G51" s="79" t="n"/>
      <c r="H51" s="77" t="n"/>
    </row>
    <row r="52" ht="15.75" customHeight="1" s="101">
      <c r="A52" s="77" t="n"/>
      <c r="B52" s="78" t="n"/>
      <c r="C52" s="77" t="n"/>
      <c r="D52" s="77" t="n"/>
      <c r="E52" s="77" t="n"/>
      <c r="F52" s="77" t="n"/>
      <c r="G52" s="79" t="n"/>
      <c r="H52" s="77" t="n"/>
    </row>
    <row r="53" ht="15.75" customHeight="1" s="101">
      <c r="A53" s="77" t="n"/>
      <c r="B53" s="78" t="n"/>
      <c r="C53" s="77" t="n"/>
      <c r="D53" s="77" t="n"/>
      <c r="E53" s="77" t="n"/>
      <c r="F53" s="77" t="n"/>
      <c r="G53" s="79" t="n"/>
      <c r="H53" s="77" t="n"/>
    </row>
    <row r="54" ht="15.75" customHeight="1" s="101">
      <c r="A54" s="77" t="n"/>
      <c r="B54" s="78" t="n"/>
      <c r="C54" s="77" t="n"/>
      <c r="D54" s="77" t="n"/>
      <c r="E54" s="77" t="n"/>
      <c r="F54" s="77" t="n"/>
      <c r="G54" s="79" t="n"/>
      <c r="H54" s="77" t="n"/>
    </row>
    <row r="55" ht="15.75" customHeight="1" s="101">
      <c r="A55" s="77" t="n"/>
      <c r="B55" s="78" t="n"/>
      <c r="C55" s="77" t="n"/>
      <c r="D55" s="77" t="n"/>
      <c r="E55" s="77" t="n"/>
      <c r="F55" s="77" t="n"/>
      <c r="G55" s="79" t="n"/>
      <c r="H55" s="77" t="n"/>
    </row>
    <row r="56" ht="15.75" customHeight="1" s="101">
      <c r="A56" s="77" t="n"/>
      <c r="B56" s="78" t="n"/>
      <c r="C56" s="77" t="n"/>
      <c r="D56" s="77" t="n"/>
      <c r="E56" s="77" t="n"/>
      <c r="F56" s="77" t="n"/>
      <c r="G56" s="79" t="n"/>
      <c r="H56" s="77" t="n"/>
    </row>
    <row r="57" ht="15.75" customHeight="1" s="101">
      <c r="A57" s="77" t="n"/>
      <c r="B57" s="78" t="n"/>
      <c r="C57" s="77" t="n"/>
      <c r="D57" s="77" t="n"/>
      <c r="E57" s="77" t="n"/>
      <c r="F57" s="77" t="n"/>
      <c r="G57" s="79" t="n"/>
      <c r="H57" s="77" t="n"/>
    </row>
    <row r="58" ht="15.75" customHeight="1" s="101">
      <c r="A58" s="77" t="n"/>
      <c r="B58" s="78" t="n"/>
      <c r="C58" s="77" t="n"/>
      <c r="D58" s="77" t="n"/>
      <c r="E58" s="77" t="n"/>
      <c r="F58" s="77" t="n"/>
      <c r="G58" s="79" t="n"/>
      <c r="H58" s="77" t="n"/>
    </row>
    <row r="59" ht="15.75" customHeight="1" s="101">
      <c r="A59" s="77" t="n"/>
      <c r="B59" s="78" t="n"/>
      <c r="C59" s="77" t="n"/>
      <c r="D59" s="77" t="n"/>
      <c r="E59" s="77" t="n"/>
      <c r="F59" s="77" t="n"/>
      <c r="G59" s="79" t="n"/>
      <c r="H59" s="77" t="n"/>
    </row>
    <row r="60" ht="15.75" customHeight="1" s="101">
      <c r="A60" s="77" t="n"/>
      <c r="B60" s="78" t="n"/>
      <c r="C60" s="77" t="n"/>
      <c r="D60" s="77" t="n"/>
      <c r="E60" s="77" t="n"/>
      <c r="F60" s="77" t="n"/>
      <c r="G60" s="79" t="n"/>
      <c r="H60" s="77" t="n"/>
    </row>
    <row r="61" ht="15.75" customHeight="1" s="101">
      <c r="A61" s="77" t="n"/>
      <c r="B61" s="78" t="n"/>
      <c r="C61" s="77" t="n"/>
      <c r="D61" s="77" t="n"/>
      <c r="E61" s="77" t="n"/>
      <c r="F61" s="77" t="n"/>
      <c r="G61" s="79" t="n"/>
      <c r="H61" s="77" t="n"/>
    </row>
    <row r="62" ht="15.75" customHeight="1" s="101">
      <c r="A62" s="77" t="n"/>
      <c r="B62" s="78" t="n"/>
      <c r="C62" s="77" t="n"/>
      <c r="D62" s="77" t="n"/>
      <c r="E62" s="77" t="n"/>
      <c r="F62" s="77" t="n"/>
      <c r="G62" s="79" t="n"/>
      <c r="H62" s="77" t="n"/>
    </row>
    <row r="63" ht="15.75" customHeight="1" s="101">
      <c r="A63" s="77" t="n"/>
      <c r="B63" s="78" t="n"/>
      <c r="C63" s="77" t="n"/>
      <c r="D63" s="77" t="n"/>
      <c r="E63" s="77" t="n"/>
      <c r="F63" s="77" t="n"/>
      <c r="G63" s="79" t="n"/>
      <c r="H63" s="77" t="n"/>
    </row>
    <row r="64" ht="15.75" customHeight="1" s="101">
      <c r="A64" s="77" t="n"/>
      <c r="B64" s="78" t="n"/>
      <c r="C64" s="77" t="n"/>
      <c r="D64" s="77" t="n"/>
      <c r="E64" s="77" t="n"/>
      <c r="F64" s="77" t="n"/>
      <c r="G64" s="79" t="n"/>
      <c r="H64" s="77" t="n"/>
    </row>
    <row r="65" ht="15.75" customHeight="1" s="101">
      <c r="A65" s="77" t="n"/>
      <c r="B65" s="78" t="n"/>
      <c r="C65" s="77" t="n"/>
      <c r="D65" s="77" t="n"/>
      <c r="E65" s="77" t="n"/>
      <c r="F65" s="77" t="n"/>
      <c r="G65" s="79" t="n"/>
      <c r="H65" s="77" t="n"/>
    </row>
    <row r="66" ht="15.75" customHeight="1" s="101">
      <c r="A66" s="77" t="n"/>
      <c r="B66" s="78" t="n"/>
      <c r="C66" s="77" t="n"/>
      <c r="D66" s="77" t="n"/>
      <c r="E66" s="77" t="n"/>
      <c r="F66" s="77" t="n"/>
      <c r="G66" s="79" t="n"/>
      <c r="H66" s="77" t="n"/>
    </row>
    <row r="67" ht="15.75" customHeight="1" s="101">
      <c r="A67" s="77" t="n"/>
      <c r="B67" s="78" t="n"/>
      <c r="C67" s="77" t="n"/>
      <c r="D67" s="77" t="n"/>
      <c r="E67" s="77" t="n"/>
      <c r="F67" s="77" t="n"/>
      <c r="G67" s="79" t="n"/>
      <c r="H67" s="77" t="n"/>
    </row>
    <row r="68" ht="15.75" customHeight="1" s="101">
      <c r="A68" s="77" t="n"/>
      <c r="B68" s="78" t="n"/>
      <c r="C68" s="77" t="n"/>
      <c r="D68" s="77" t="n"/>
      <c r="E68" s="77" t="n"/>
      <c r="F68" s="77" t="n"/>
      <c r="G68" s="79" t="n"/>
      <c r="H68" s="77" t="n"/>
    </row>
    <row r="69" ht="15.75" customHeight="1" s="101">
      <c r="A69" s="77" t="n"/>
      <c r="B69" s="78" t="n"/>
      <c r="C69" s="77" t="n"/>
      <c r="D69" s="77" t="n"/>
      <c r="E69" s="77" t="n"/>
      <c r="F69" s="77" t="n"/>
      <c r="G69" s="79" t="n"/>
      <c r="H69" s="77" t="n"/>
    </row>
    <row r="70" ht="15.75" customHeight="1" s="101">
      <c r="A70" s="77" t="n"/>
      <c r="B70" s="78" t="n"/>
      <c r="C70" s="77" t="n"/>
      <c r="D70" s="77" t="n"/>
      <c r="E70" s="77" t="n"/>
      <c r="F70" s="77" t="n"/>
      <c r="G70" s="79" t="n"/>
      <c r="H70" s="77" t="n"/>
    </row>
    <row r="71" ht="15.75" customHeight="1" s="101">
      <c r="A71" s="77" t="n"/>
      <c r="B71" s="78" t="n"/>
      <c r="C71" s="77" t="n"/>
      <c r="D71" s="77" t="n"/>
      <c r="E71" s="77" t="n"/>
      <c r="F71" s="77" t="n"/>
      <c r="G71" s="79" t="n"/>
      <c r="H71" s="77" t="n"/>
    </row>
    <row r="72" ht="15.75" customHeight="1" s="101">
      <c r="A72" s="77" t="n"/>
      <c r="B72" s="78" t="n"/>
      <c r="C72" s="77" t="n"/>
      <c r="D72" s="77" t="n"/>
      <c r="E72" s="77" t="n"/>
      <c r="F72" s="77" t="n"/>
      <c r="G72" s="79" t="n"/>
      <c r="H72" s="77" t="n"/>
    </row>
    <row r="73" ht="15.75" customHeight="1" s="101">
      <c r="A73" s="77" t="n"/>
      <c r="B73" s="78" t="n"/>
      <c r="C73" s="77" t="n"/>
      <c r="D73" s="77" t="n"/>
      <c r="E73" s="77" t="n"/>
      <c r="F73" s="77" t="n"/>
      <c r="G73" s="79" t="n"/>
      <c r="H73" s="77" t="n"/>
    </row>
    <row r="74" ht="15.75" customHeight="1" s="101">
      <c r="A74" s="77" t="n"/>
      <c r="B74" s="78" t="n"/>
      <c r="C74" s="77" t="n"/>
      <c r="D74" s="77" t="n"/>
      <c r="E74" s="77" t="n"/>
      <c r="F74" s="77" t="n"/>
      <c r="G74" s="79" t="n"/>
      <c r="H74" s="77" t="n"/>
    </row>
    <row r="75" ht="15.75" customHeight="1" s="101">
      <c r="A75" s="77" t="n"/>
      <c r="B75" s="78" t="n"/>
      <c r="C75" s="77" t="n"/>
      <c r="D75" s="77" t="n"/>
      <c r="E75" s="77" t="n"/>
      <c r="F75" s="77" t="n"/>
      <c r="G75" s="79" t="n"/>
      <c r="H75" s="77" t="n"/>
    </row>
    <row r="76" ht="15.75" customHeight="1" s="101">
      <c r="A76" s="77" t="n"/>
      <c r="B76" s="78" t="n"/>
      <c r="C76" s="77" t="n"/>
      <c r="D76" s="77" t="n"/>
      <c r="E76" s="77" t="n"/>
      <c r="F76" s="77" t="n"/>
      <c r="G76" s="79" t="n"/>
      <c r="H76" s="77" t="n"/>
    </row>
    <row r="77" ht="15.75" customHeight="1" s="101">
      <c r="A77" s="77" t="n"/>
      <c r="B77" s="78" t="n"/>
      <c r="C77" s="77" t="n"/>
      <c r="D77" s="77" t="n"/>
      <c r="E77" s="77" t="n"/>
      <c r="F77" s="77" t="n"/>
      <c r="G77" s="79" t="n"/>
      <c r="H77" s="77" t="n"/>
    </row>
    <row r="78" ht="15.75" customHeight="1" s="101">
      <c r="A78" s="77" t="n"/>
      <c r="B78" s="78" t="n"/>
      <c r="C78" s="77" t="n"/>
      <c r="D78" s="77" t="n"/>
      <c r="E78" s="77" t="n"/>
      <c r="F78" s="77" t="n"/>
      <c r="G78" s="79" t="n"/>
      <c r="H78" s="77" t="n"/>
    </row>
    <row r="79" ht="15.75" customHeight="1" s="101">
      <c r="A79" s="77" t="n"/>
      <c r="B79" s="78" t="n"/>
      <c r="C79" s="77" t="n"/>
      <c r="D79" s="77" t="n"/>
      <c r="E79" s="77" t="n"/>
      <c r="F79" s="77" t="n"/>
      <c r="G79" s="79" t="n"/>
      <c r="H79" s="77" t="n"/>
    </row>
    <row r="80" ht="15.75" customHeight="1" s="101">
      <c r="A80" s="77" t="n"/>
      <c r="B80" s="78" t="n"/>
      <c r="C80" s="77" t="n"/>
      <c r="D80" s="77" t="n"/>
      <c r="E80" s="77" t="n"/>
      <c r="F80" s="77" t="n"/>
      <c r="G80" s="79" t="n"/>
      <c r="H80" s="77" t="n"/>
    </row>
    <row r="81" ht="15.75" customHeight="1" s="101">
      <c r="A81" s="77" t="n"/>
      <c r="B81" s="78" t="n"/>
      <c r="C81" s="77" t="n"/>
      <c r="D81" s="77" t="n"/>
      <c r="E81" s="77" t="n"/>
      <c r="F81" s="77" t="n"/>
      <c r="G81" s="79" t="n"/>
      <c r="H81" s="77" t="n"/>
    </row>
    <row r="82" ht="15.75" customHeight="1" s="101">
      <c r="A82" s="77" t="n"/>
      <c r="B82" s="78" t="n"/>
      <c r="C82" s="77" t="n"/>
      <c r="D82" s="77" t="n"/>
      <c r="E82" s="77" t="n"/>
      <c r="F82" s="77" t="n"/>
      <c r="G82" s="79" t="n"/>
      <c r="H82" s="77" t="n"/>
    </row>
    <row r="83" ht="15.75" customHeight="1" s="101">
      <c r="A83" s="77" t="n"/>
      <c r="B83" s="78" t="n"/>
      <c r="C83" s="77" t="n"/>
      <c r="D83" s="77" t="n"/>
      <c r="E83" s="77" t="n"/>
      <c r="F83" s="77" t="n"/>
      <c r="G83" s="79" t="n"/>
      <c r="H83" s="77" t="n"/>
    </row>
    <row r="84" ht="15.75" customHeight="1" s="101">
      <c r="A84" s="77" t="n"/>
      <c r="B84" s="78" t="n"/>
      <c r="C84" s="77" t="n"/>
      <c r="D84" s="77" t="n"/>
      <c r="E84" s="77" t="n"/>
      <c r="F84" s="77" t="n"/>
      <c r="G84" s="79" t="n"/>
      <c r="H84" s="77" t="n"/>
    </row>
    <row r="85" ht="15.75" customHeight="1" s="101">
      <c r="A85" s="77" t="n"/>
      <c r="B85" s="78" t="n"/>
      <c r="C85" s="77" t="n"/>
      <c r="D85" s="77" t="n"/>
      <c r="E85" s="77" t="n"/>
      <c r="F85" s="77" t="n"/>
      <c r="G85" s="79" t="n"/>
      <c r="H85" s="77" t="n"/>
    </row>
    <row r="86" ht="15.75" customHeight="1" s="101">
      <c r="A86" s="77" t="n"/>
      <c r="B86" s="78" t="n"/>
      <c r="C86" s="77" t="n"/>
      <c r="D86" s="77" t="n"/>
      <c r="E86" s="77" t="n"/>
      <c r="F86" s="77" t="n"/>
      <c r="G86" s="79" t="n"/>
      <c r="H86" s="77" t="n"/>
    </row>
    <row r="87" ht="15.75" customHeight="1" s="101">
      <c r="A87" s="77" t="n"/>
      <c r="B87" s="78" t="n"/>
      <c r="C87" s="77" t="n"/>
      <c r="D87" s="77" t="n"/>
      <c r="E87" s="77" t="n"/>
      <c r="F87" s="77" t="n"/>
      <c r="G87" s="79" t="n"/>
      <c r="H87" s="77" t="n"/>
    </row>
    <row r="88" ht="15.75" customHeight="1" s="101">
      <c r="A88" s="77" t="n"/>
      <c r="B88" s="78" t="n"/>
      <c r="C88" s="77" t="n"/>
      <c r="D88" s="77" t="n"/>
      <c r="E88" s="77" t="n"/>
      <c r="F88" s="77" t="n"/>
      <c r="G88" s="79" t="n"/>
      <c r="H88" s="77" t="n"/>
    </row>
    <row r="89" ht="15.75" customHeight="1" s="101">
      <c r="A89" s="77" t="n"/>
      <c r="B89" s="78" t="n"/>
      <c r="C89" s="77" t="n"/>
      <c r="D89" s="77" t="n"/>
      <c r="E89" s="77" t="n"/>
      <c r="F89" s="77" t="n"/>
      <c r="G89" s="79" t="n"/>
      <c r="H89" s="77" t="n"/>
    </row>
    <row r="90" ht="15.75" customHeight="1" s="101">
      <c r="A90" s="77" t="n"/>
      <c r="B90" s="78" t="n"/>
      <c r="C90" s="77" t="n"/>
      <c r="D90" s="77" t="n"/>
      <c r="E90" s="77" t="n"/>
      <c r="F90" s="77" t="n"/>
      <c r="G90" s="79" t="n"/>
      <c r="H90" s="77" t="n"/>
    </row>
    <row r="91" ht="15.75" customHeight="1" s="101">
      <c r="A91" s="77" t="n"/>
      <c r="B91" s="78" t="n"/>
      <c r="C91" s="77" t="n"/>
      <c r="D91" s="77" t="n"/>
      <c r="E91" s="77" t="n"/>
      <c r="F91" s="77" t="n"/>
      <c r="G91" s="79" t="n"/>
      <c r="H91" s="77" t="n"/>
    </row>
    <row r="92" ht="15.75" customHeight="1" s="101">
      <c r="A92" s="77" t="n"/>
      <c r="B92" s="78" t="n"/>
      <c r="C92" s="77" t="n"/>
      <c r="D92" s="77" t="n"/>
      <c r="E92" s="77" t="n"/>
      <c r="F92" s="77" t="n"/>
      <c r="G92" s="79" t="n"/>
      <c r="H92" s="77" t="n"/>
    </row>
    <row r="93" ht="15.75" customHeight="1" s="101">
      <c r="A93" s="77" t="n"/>
      <c r="B93" s="78" t="n"/>
      <c r="C93" s="77" t="n"/>
      <c r="D93" s="77" t="n"/>
      <c r="E93" s="77" t="n"/>
      <c r="F93" s="77" t="n"/>
      <c r="G93" s="79" t="n"/>
      <c r="H93" s="77" t="n"/>
    </row>
    <row r="94" ht="15.75" customHeight="1" s="101">
      <c r="A94" s="77" t="n"/>
      <c r="B94" s="78" t="n"/>
      <c r="C94" s="77" t="n"/>
      <c r="D94" s="77" t="n"/>
      <c r="E94" s="77" t="n"/>
      <c r="F94" s="77" t="n"/>
      <c r="G94" s="79" t="n"/>
      <c r="H94" s="77" t="n"/>
    </row>
    <row r="95" ht="15.75" customHeight="1" s="101">
      <c r="A95" s="77" t="n"/>
      <c r="B95" s="78" t="n"/>
      <c r="C95" s="77" t="n"/>
      <c r="D95" s="77" t="n"/>
      <c r="E95" s="77" t="n"/>
      <c r="F95" s="77" t="n"/>
      <c r="G95" s="79" t="n"/>
      <c r="H95" s="77" t="n"/>
    </row>
    <row r="96" ht="15.75" customHeight="1" s="101">
      <c r="A96" s="77" t="n"/>
      <c r="B96" s="78" t="n"/>
      <c r="C96" s="77" t="n"/>
      <c r="D96" s="77" t="n"/>
      <c r="E96" s="77" t="n"/>
      <c r="F96" s="77" t="n"/>
      <c r="G96" s="79" t="n"/>
      <c r="H96" s="77" t="n"/>
    </row>
    <row r="97" ht="15.75" customHeight="1" s="101">
      <c r="A97" s="77" t="n"/>
      <c r="B97" s="78" t="n"/>
      <c r="C97" s="77" t="n"/>
      <c r="D97" s="77" t="n"/>
      <c r="E97" s="77" t="n"/>
      <c r="F97" s="77" t="n"/>
      <c r="G97" s="79" t="n"/>
      <c r="H97" s="77" t="n"/>
    </row>
    <row r="98" ht="15.75" customHeight="1" s="101">
      <c r="A98" s="77" t="n"/>
      <c r="B98" s="78" t="n"/>
      <c r="C98" s="77" t="n"/>
      <c r="D98" s="77" t="n"/>
      <c r="E98" s="77" t="n"/>
      <c r="F98" s="77" t="n"/>
      <c r="G98" s="79" t="n"/>
      <c r="H98" s="77" t="n"/>
    </row>
    <row r="99" ht="15.75" customHeight="1" s="101">
      <c r="A99" s="77" t="n"/>
      <c r="B99" s="78" t="n"/>
      <c r="C99" s="77" t="n"/>
      <c r="D99" s="77" t="n"/>
      <c r="E99" s="77" t="n"/>
      <c r="F99" s="77" t="n"/>
      <c r="G99" s="79" t="n"/>
      <c r="H99" s="77" t="n"/>
    </row>
    <row r="100" ht="15.75" customHeight="1" s="101">
      <c r="A100" s="77" t="n"/>
      <c r="B100" s="78" t="n"/>
      <c r="C100" s="77" t="n"/>
      <c r="D100" s="77" t="n"/>
      <c r="E100" s="77" t="n"/>
      <c r="F100" s="77" t="n"/>
      <c r="G100" s="79" t="n"/>
      <c r="H100" s="77" t="n"/>
    </row>
    <row r="101" ht="15.75" customHeight="1" s="101">
      <c r="A101" s="77" t="n"/>
      <c r="B101" s="78" t="n"/>
      <c r="C101" s="77" t="n"/>
      <c r="D101" s="77" t="n"/>
      <c r="E101" s="77" t="n"/>
      <c r="F101" s="77" t="n"/>
      <c r="G101" s="79" t="n"/>
      <c r="H101" s="77" t="n"/>
    </row>
    <row r="102" ht="15.75" customHeight="1" s="101">
      <c r="A102" s="77" t="n"/>
      <c r="B102" s="78" t="n"/>
      <c r="C102" s="77" t="n"/>
      <c r="D102" s="77" t="n"/>
      <c r="E102" s="77" t="n"/>
      <c r="F102" s="77" t="n"/>
      <c r="G102" s="79" t="n"/>
      <c r="H102" s="77" t="n"/>
    </row>
    <row r="103" ht="15.75" customHeight="1" s="101">
      <c r="A103" s="77" t="n"/>
      <c r="B103" s="78" t="n"/>
      <c r="C103" s="77" t="n"/>
      <c r="D103" s="77" t="n"/>
      <c r="E103" s="77" t="n"/>
      <c r="F103" s="77" t="n"/>
      <c r="G103" s="79" t="n"/>
      <c r="H103" s="77" t="n"/>
    </row>
    <row r="104" ht="15.75" customHeight="1" s="101">
      <c r="A104" s="77" t="n"/>
      <c r="B104" s="78" t="n"/>
      <c r="C104" s="77" t="n"/>
      <c r="D104" s="77" t="n"/>
      <c r="E104" s="77" t="n"/>
      <c r="F104" s="77" t="n"/>
      <c r="G104" s="79" t="n"/>
      <c r="H104" s="77" t="n"/>
    </row>
    <row r="105" ht="15.75" customHeight="1" s="101">
      <c r="A105" s="77" t="n"/>
      <c r="B105" s="78" t="n"/>
      <c r="C105" s="77" t="n"/>
      <c r="D105" s="77" t="n"/>
      <c r="E105" s="77" t="n"/>
      <c r="F105" s="77" t="n"/>
      <c r="G105" s="79" t="n"/>
      <c r="H105" s="77" t="n"/>
    </row>
    <row r="106" ht="15.75" customHeight="1" s="101">
      <c r="A106" s="77" t="n"/>
      <c r="B106" s="78" t="n"/>
      <c r="C106" s="77" t="n"/>
      <c r="D106" s="77" t="n"/>
      <c r="E106" s="77" t="n"/>
      <c r="F106" s="77" t="n"/>
      <c r="G106" s="79" t="n"/>
      <c r="H106" s="77" t="n"/>
    </row>
    <row r="107" ht="15.75" customHeight="1" s="101">
      <c r="A107" s="77" t="n"/>
      <c r="B107" s="78" t="n"/>
      <c r="C107" s="77" t="n"/>
      <c r="D107" s="77" t="n"/>
      <c r="E107" s="77" t="n"/>
      <c r="F107" s="77" t="n"/>
      <c r="G107" s="79" t="n"/>
      <c r="H107" s="77" t="n"/>
    </row>
    <row r="108" ht="15.75" customHeight="1" s="101">
      <c r="A108" s="77" t="n"/>
      <c r="B108" s="78" t="n"/>
      <c r="C108" s="77" t="n"/>
      <c r="D108" s="77" t="n"/>
      <c r="E108" s="77" t="n"/>
      <c r="F108" s="77" t="n"/>
      <c r="G108" s="79" t="n"/>
      <c r="H108" s="77" t="n"/>
    </row>
    <row r="109" ht="15.75" customHeight="1" s="101">
      <c r="A109" s="77" t="n"/>
      <c r="B109" s="78" t="n"/>
      <c r="C109" s="77" t="n"/>
      <c r="D109" s="77" t="n"/>
      <c r="E109" s="77" t="n"/>
      <c r="F109" s="77" t="n"/>
      <c r="G109" s="79" t="n"/>
      <c r="H109" s="77" t="n"/>
    </row>
    <row r="110" ht="15.75" customHeight="1" s="101">
      <c r="A110" s="77" t="n"/>
      <c r="B110" s="78" t="n"/>
      <c r="C110" s="77" t="n"/>
      <c r="D110" s="77" t="n"/>
      <c r="E110" s="77" t="n"/>
      <c r="F110" s="77" t="n"/>
      <c r="G110" s="79" t="n"/>
      <c r="H110" s="77" t="n"/>
    </row>
    <row r="111" ht="15.75" customHeight="1" s="101">
      <c r="A111" s="77" t="n"/>
      <c r="B111" s="78" t="n"/>
      <c r="C111" s="77" t="n"/>
      <c r="D111" s="77" t="n"/>
      <c r="E111" s="77" t="n"/>
      <c r="F111" s="77" t="n"/>
      <c r="G111" s="79" t="n"/>
      <c r="H111" s="77" t="n"/>
    </row>
    <row r="112" ht="15.75" customHeight="1" s="101">
      <c r="A112" s="77" t="n"/>
      <c r="B112" s="78" t="n"/>
      <c r="C112" s="77" t="n"/>
      <c r="D112" s="77" t="n"/>
      <c r="E112" s="77" t="n"/>
      <c r="F112" s="77" t="n"/>
      <c r="G112" s="79" t="n"/>
      <c r="H112" s="77" t="n"/>
    </row>
    <row r="113" ht="15.75" customHeight="1" s="101">
      <c r="A113" s="77" t="n"/>
      <c r="B113" s="78" t="n"/>
      <c r="C113" s="77" t="n"/>
      <c r="D113" s="77" t="n"/>
      <c r="E113" s="77" t="n"/>
      <c r="F113" s="77" t="n"/>
      <c r="G113" s="79" t="n"/>
      <c r="H113" s="77" t="n"/>
    </row>
    <row r="114" ht="15.75" customHeight="1" s="101">
      <c r="A114" s="77" t="n"/>
      <c r="B114" s="78" t="n"/>
      <c r="C114" s="77" t="n"/>
      <c r="D114" s="77" t="n"/>
      <c r="E114" s="77" t="n"/>
      <c r="F114" s="77" t="n"/>
      <c r="G114" s="79" t="n"/>
      <c r="H114" s="77" t="n"/>
    </row>
    <row r="115" ht="15.75" customHeight="1" s="101">
      <c r="A115" s="77" t="n"/>
      <c r="B115" s="78" t="n"/>
      <c r="C115" s="77" t="n"/>
      <c r="D115" s="77" t="n"/>
      <c r="E115" s="77" t="n"/>
      <c r="F115" s="77" t="n"/>
      <c r="G115" s="79" t="n"/>
      <c r="H115" s="77" t="n"/>
    </row>
    <row r="116" ht="15.75" customHeight="1" s="101">
      <c r="A116" s="77" t="n"/>
      <c r="B116" s="78" t="n"/>
      <c r="C116" s="77" t="n"/>
      <c r="D116" s="77" t="n"/>
      <c r="E116" s="77" t="n"/>
      <c r="F116" s="77" t="n"/>
      <c r="G116" s="79" t="n"/>
      <c r="H116" s="77" t="n"/>
    </row>
    <row r="117" ht="15.75" customHeight="1" s="101">
      <c r="A117" s="77" t="n"/>
      <c r="B117" s="78" t="n"/>
      <c r="C117" s="77" t="n"/>
      <c r="D117" s="77" t="n"/>
      <c r="E117" s="77" t="n"/>
      <c r="F117" s="77" t="n"/>
      <c r="G117" s="79" t="n"/>
      <c r="H117" s="77" t="n"/>
    </row>
    <row r="118" ht="15.75" customHeight="1" s="101">
      <c r="A118" s="77" t="n"/>
      <c r="B118" s="78" t="n"/>
      <c r="C118" s="77" t="n"/>
      <c r="D118" s="77" t="n"/>
      <c r="E118" s="77" t="n"/>
      <c r="F118" s="77" t="n"/>
      <c r="G118" s="79" t="n"/>
      <c r="H118" s="77" t="n"/>
    </row>
    <row r="119" ht="15.75" customHeight="1" s="101">
      <c r="A119" s="77" t="n"/>
      <c r="B119" s="78" t="n"/>
      <c r="C119" s="77" t="n"/>
      <c r="D119" s="77" t="n"/>
      <c r="E119" s="77" t="n"/>
      <c r="F119" s="77" t="n"/>
      <c r="G119" s="79" t="n"/>
      <c r="H119" s="77" t="n"/>
    </row>
    <row r="120" ht="15.75" customHeight="1" s="101">
      <c r="A120" s="77" t="n"/>
      <c r="B120" s="78" t="n"/>
      <c r="C120" s="77" t="n"/>
      <c r="D120" s="77" t="n"/>
      <c r="E120" s="77" t="n"/>
      <c r="F120" s="77" t="n"/>
      <c r="G120" s="79" t="n"/>
      <c r="H120" s="77" t="n"/>
    </row>
    <row r="121" ht="15.75" customHeight="1" s="101">
      <c r="A121" s="77" t="n"/>
      <c r="B121" s="78" t="n"/>
      <c r="C121" s="77" t="n"/>
      <c r="D121" s="77" t="n"/>
      <c r="E121" s="77" t="n"/>
      <c r="F121" s="77" t="n"/>
      <c r="G121" s="79" t="n"/>
      <c r="H121" s="77" t="n"/>
    </row>
    <row r="122" ht="15.75" customHeight="1" s="101">
      <c r="A122" s="77" t="n"/>
      <c r="B122" s="78" t="n"/>
      <c r="C122" s="77" t="n"/>
      <c r="D122" s="77" t="n"/>
      <c r="E122" s="77" t="n"/>
      <c r="F122" s="77" t="n"/>
      <c r="G122" s="79" t="n"/>
      <c r="H122" s="77" t="n"/>
    </row>
    <row r="123" ht="15.75" customHeight="1" s="101">
      <c r="A123" s="77" t="n"/>
      <c r="B123" s="78" t="n"/>
      <c r="C123" s="77" t="n"/>
      <c r="D123" s="77" t="n"/>
      <c r="E123" s="77" t="n"/>
      <c r="F123" s="77" t="n"/>
      <c r="G123" s="79" t="n"/>
      <c r="H123" s="77" t="n"/>
    </row>
    <row r="124" ht="15.75" customHeight="1" s="101">
      <c r="A124" s="77" t="n"/>
      <c r="B124" s="78" t="n"/>
      <c r="C124" s="77" t="n"/>
      <c r="D124" s="77" t="n"/>
      <c r="E124" s="77" t="n"/>
      <c r="F124" s="77" t="n"/>
      <c r="G124" s="79" t="n"/>
      <c r="H124" s="77" t="n"/>
    </row>
    <row r="125" ht="15.75" customHeight="1" s="101">
      <c r="A125" s="77" t="n"/>
      <c r="B125" s="78" t="n"/>
      <c r="C125" s="77" t="n"/>
      <c r="D125" s="77" t="n"/>
      <c r="E125" s="77" t="n"/>
      <c r="F125" s="77" t="n"/>
      <c r="G125" s="79" t="n"/>
      <c r="H125" s="77" t="n"/>
    </row>
    <row r="126" ht="15.75" customHeight="1" s="101">
      <c r="A126" s="77" t="n"/>
      <c r="B126" s="78" t="n"/>
      <c r="C126" s="77" t="n"/>
      <c r="D126" s="77" t="n"/>
      <c r="E126" s="77" t="n"/>
      <c r="F126" s="77" t="n"/>
      <c r="G126" s="79" t="n"/>
      <c r="H126" s="77" t="n"/>
    </row>
    <row r="127" ht="15.75" customHeight="1" s="101">
      <c r="A127" s="77" t="n"/>
      <c r="B127" s="78" t="n"/>
      <c r="C127" s="77" t="n"/>
      <c r="D127" s="77" t="n"/>
      <c r="E127" s="77" t="n"/>
      <c r="F127" s="77" t="n"/>
      <c r="G127" s="79" t="n"/>
      <c r="H127" s="77" t="n"/>
    </row>
    <row r="128" ht="15.75" customHeight="1" s="101">
      <c r="A128" s="77" t="n"/>
      <c r="B128" s="78" t="n"/>
      <c r="C128" s="77" t="n"/>
      <c r="D128" s="77" t="n"/>
      <c r="E128" s="77" t="n"/>
      <c r="F128" s="77" t="n"/>
      <c r="G128" s="79" t="n"/>
      <c r="H128" s="77" t="n"/>
    </row>
    <row r="129" ht="15.75" customHeight="1" s="101">
      <c r="A129" s="77" t="n"/>
      <c r="B129" s="78" t="n"/>
      <c r="C129" s="77" t="n"/>
      <c r="D129" s="77" t="n"/>
      <c r="E129" s="77" t="n"/>
      <c r="F129" s="77" t="n"/>
      <c r="G129" s="79" t="n"/>
      <c r="H129" s="77" t="n"/>
    </row>
    <row r="130" ht="15.75" customHeight="1" s="101">
      <c r="A130" s="77" t="n"/>
      <c r="B130" s="78" t="n"/>
      <c r="C130" s="77" t="n"/>
      <c r="D130" s="77" t="n"/>
      <c r="E130" s="77" t="n"/>
      <c r="F130" s="77" t="n"/>
      <c r="G130" s="79" t="n"/>
      <c r="H130" s="77" t="n"/>
    </row>
    <row r="131" ht="15.75" customHeight="1" s="101">
      <c r="A131" s="77" t="n"/>
      <c r="B131" s="78" t="n"/>
      <c r="C131" s="77" t="n"/>
      <c r="D131" s="77" t="n"/>
      <c r="E131" s="77" t="n"/>
      <c r="F131" s="77" t="n"/>
      <c r="G131" s="79" t="n"/>
      <c r="H131" s="77" t="n"/>
    </row>
    <row r="132" ht="15.75" customHeight="1" s="101">
      <c r="A132" s="77" t="n"/>
      <c r="B132" s="78" t="n"/>
      <c r="C132" s="77" t="n"/>
      <c r="D132" s="77" t="n"/>
      <c r="E132" s="77" t="n"/>
      <c r="F132" s="77" t="n"/>
      <c r="G132" s="79" t="n"/>
      <c r="H132" s="77" t="n"/>
    </row>
    <row r="133" ht="15.75" customHeight="1" s="101">
      <c r="A133" s="77" t="n"/>
      <c r="B133" s="78" t="n"/>
      <c r="C133" s="77" t="n"/>
      <c r="D133" s="77" t="n"/>
      <c r="E133" s="77" t="n"/>
      <c r="F133" s="77" t="n"/>
      <c r="G133" s="79" t="n"/>
      <c r="H133" s="77" t="n"/>
    </row>
    <row r="134" ht="15.75" customHeight="1" s="101">
      <c r="A134" s="77" t="n"/>
      <c r="B134" s="78" t="n"/>
      <c r="C134" s="77" t="n"/>
      <c r="D134" s="77" t="n"/>
      <c r="E134" s="77" t="n"/>
      <c r="F134" s="77" t="n"/>
      <c r="G134" s="79" t="n"/>
      <c r="H134" s="77" t="n"/>
    </row>
    <row r="135" ht="15.75" customHeight="1" s="101">
      <c r="A135" s="77" t="n"/>
      <c r="B135" s="78" t="n"/>
      <c r="C135" s="77" t="n"/>
      <c r="D135" s="77" t="n"/>
      <c r="E135" s="77" t="n"/>
      <c r="F135" s="77" t="n"/>
      <c r="G135" s="79" t="n"/>
      <c r="H135" s="77" t="n"/>
    </row>
    <row r="136" ht="15.75" customHeight="1" s="101">
      <c r="A136" s="77" t="n"/>
      <c r="B136" s="78" t="n"/>
      <c r="C136" s="77" t="n"/>
      <c r="D136" s="77" t="n"/>
      <c r="E136" s="77" t="n"/>
      <c r="F136" s="77" t="n"/>
      <c r="G136" s="79" t="n"/>
      <c r="H136" s="77" t="n"/>
    </row>
    <row r="137" ht="15.75" customHeight="1" s="101">
      <c r="A137" s="77" t="n"/>
      <c r="B137" s="78" t="n"/>
      <c r="C137" s="77" t="n"/>
      <c r="D137" s="77" t="n"/>
      <c r="E137" s="77" t="n"/>
      <c r="F137" s="77" t="n"/>
      <c r="G137" s="79" t="n"/>
      <c r="H137" s="77" t="n"/>
    </row>
    <row r="138" ht="15.75" customHeight="1" s="101">
      <c r="A138" s="77" t="n"/>
      <c r="B138" s="78" t="n"/>
      <c r="C138" s="77" t="n"/>
      <c r="D138" s="77" t="n"/>
      <c r="E138" s="77" t="n"/>
      <c r="F138" s="77" t="n"/>
      <c r="G138" s="79" t="n"/>
      <c r="H138" s="77" t="n"/>
    </row>
    <row r="139" ht="15.75" customHeight="1" s="101">
      <c r="A139" s="77" t="n"/>
      <c r="B139" s="78" t="n"/>
      <c r="C139" s="77" t="n"/>
      <c r="D139" s="77" t="n"/>
      <c r="E139" s="77" t="n"/>
      <c r="F139" s="77" t="n"/>
      <c r="G139" s="79" t="n"/>
      <c r="H139" s="77" t="n"/>
    </row>
    <row r="140" ht="15.75" customHeight="1" s="101">
      <c r="A140" s="77" t="n"/>
      <c r="B140" s="78" t="n"/>
      <c r="C140" s="77" t="n"/>
      <c r="D140" s="77" t="n"/>
      <c r="E140" s="77" t="n"/>
      <c r="F140" s="77" t="n"/>
      <c r="G140" s="79" t="n"/>
      <c r="H140" s="77" t="n"/>
    </row>
    <row r="141" ht="15.75" customHeight="1" s="101">
      <c r="A141" s="77" t="n"/>
      <c r="B141" s="78" t="n"/>
      <c r="C141" s="77" t="n"/>
      <c r="D141" s="77" t="n"/>
      <c r="E141" s="77" t="n"/>
      <c r="F141" s="77" t="n"/>
      <c r="G141" s="79" t="n"/>
      <c r="H141" s="77" t="n"/>
    </row>
    <row r="142" ht="15.75" customHeight="1" s="101">
      <c r="A142" s="77" t="n"/>
      <c r="B142" s="78" t="n"/>
      <c r="C142" s="77" t="n"/>
      <c r="D142" s="77" t="n"/>
      <c r="E142" s="77" t="n"/>
      <c r="F142" s="77" t="n"/>
      <c r="G142" s="79" t="n"/>
      <c r="H142" s="77" t="n"/>
    </row>
    <row r="143" ht="15.75" customHeight="1" s="101">
      <c r="A143" s="77" t="n"/>
      <c r="B143" s="78" t="n"/>
      <c r="C143" s="77" t="n"/>
      <c r="D143" s="77" t="n"/>
      <c r="E143" s="77" t="n"/>
      <c r="F143" s="77" t="n"/>
      <c r="G143" s="79" t="n"/>
      <c r="H143" s="77" t="n"/>
    </row>
    <row r="144" ht="15.75" customHeight="1" s="101">
      <c r="A144" s="77" t="n"/>
      <c r="B144" s="78" t="n"/>
      <c r="C144" s="77" t="n"/>
      <c r="D144" s="77" t="n"/>
      <c r="E144" s="77" t="n"/>
      <c r="F144" s="77" t="n"/>
      <c r="G144" s="79" t="n"/>
      <c r="H144" s="77" t="n"/>
    </row>
    <row r="145" ht="15.75" customHeight="1" s="101">
      <c r="A145" s="77" t="n"/>
      <c r="B145" s="78" t="n"/>
      <c r="C145" s="77" t="n"/>
      <c r="D145" s="77" t="n"/>
      <c r="E145" s="77" t="n"/>
      <c r="F145" s="77" t="n"/>
      <c r="G145" s="79" t="n"/>
      <c r="H145" s="77" t="n"/>
    </row>
    <row r="146" ht="15.75" customHeight="1" s="101">
      <c r="A146" s="77" t="n"/>
      <c r="B146" s="78" t="n"/>
      <c r="C146" s="77" t="n"/>
      <c r="D146" s="77" t="n"/>
      <c r="E146" s="77" t="n"/>
      <c r="F146" s="77" t="n"/>
      <c r="G146" s="79" t="n"/>
      <c r="H146" s="77" t="n"/>
    </row>
    <row r="147" ht="15.75" customHeight="1" s="101">
      <c r="A147" s="77" t="n"/>
      <c r="B147" s="78" t="n"/>
      <c r="C147" s="77" t="n"/>
      <c r="D147" s="77" t="n"/>
      <c r="E147" s="77" t="n"/>
      <c r="F147" s="77" t="n"/>
      <c r="G147" s="79" t="n"/>
      <c r="H147" s="77" t="n"/>
    </row>
    <row r="148" ht="15.75" customHeight="1" s="101">
      <c r="A148" s="77" t="n"/>
      <c r="B148" s="78" t="n"/>
      <c r="C148" s="77" t="n"/>
      <c r="D148" s="77" t="n"/>
      <c r="E148" s="77" t="n"/>
      <c r="F148" s="77" t="n"/>
      <c r="G148" s="79" t="n"/>
      <c r="H148" s="77" t="n"/>
    </row>
    <row r="149" ht="15.75" customHeight="1" s="101">
      <c r="A149" s="77" t="n"/>
      <c r="B149" s="78" t="n"/>
      <c r="C149" s="77" t="n"/>
      <c r="D149" s="77" t="n"/>
      <c r="E149" s="77" t="n"/>
      <c r="F149" s="77" t="n"/>
      <c r="G149" s="79" t="n"/>
      <c r="H149" s="77" t="n"/>
    </row>
    <row r="150" ht="15.75" customHeight="1" s="101">
      <c r="A150" s="77" t="n"/>
      <c r="B150" s="78" t="n"/>
      <c r="C150" s="77" t="n"/>
      <c r="D150" s="77" t="n"/>
      <c r="E150" s="77" t="n"/>
      <c r="F150" s="77" t="n"/>
      <c r="G150" s="79" t="n"/>
      <c r="H150" s="77" t="n"/>
    </row>
    <row r="151" ht="15.75" customHeight="1" s="101">
      <c r="A151" s="77" t="n"/>
      <c r="B151" s="78" t="n"/>
      <c r="C151" s="77" t="n"/>
      <c r="D151" s="77" t="n"/>
      <c r="E151" s="77" t="n"/>
      <c r="F151" s="77" t="n"/>
      <c r="G151" s="79" t="n"/>
      <c r="H151" s="77" t="n"/>
    </row>
    <row r="152" ht="15.75" customHeight="1" s="101">
      <c r="A152" s="77" t="n"/>
      <c r="B152" s="78" t="n"/>
      <c r="C152" s="77" t="n"/>
      <c r="D152" s="77" t="n"/>
      <c r="E152" s="77" t="n"/>
      <c r="F152" s="77" t="n"/>
      <c r="G152" s="79" t="n"/>
      <c r="H152" s="77" t="n"/>
    </row>
    <row r="153" ht="15.75" customHeight="1" s="101">
      <c r="A153" s="77" t="n"/>
      <c r="B153" s="78" t="n"/>
      <c r="C153" s="77" t="n"/>
      <c r="D153" s="77" t="n"/>
      <c r="E153" s="77" t="n"/>
      <c r="F153" s="77" t="n"/>
      <c r="G153" s="79" t="n"/>
      <c r="H153" s="77" t="n"/>
    </row>
    <row r="154" ht="15.75" customHeight="1" s="101">
      <c r="A154" s="77" t="n"/>
      <c r="B154" s="78" t="n"/>
      <c r="C154" s="77" t="n"/>
      <c r="D154" s="77" t="n"/>
      <c r="E154" s="77" t="n"/>
      <c r="F154" s="77" t="n"/>
      <c r="G154" s="79" t="n"/>
      <c r="H154" s="77" t="n"/>
    </row>
    <row r="155" ht="15.75" customHeight="1" s="101">
      <c r="A155" s="77" t="n"/>
      <c r="B155" s="78" t="n"/>
      <c r="C155" s="77" t="n"/>
      <c r="D155" s="77" t="n"/>
      <c r="E155" s="77" t="n"/>
      <c r="F155" s="77" t="n"/>
      <c r="G155" s="79" t="n"/>
      <c r="H155" s="77" t="n"/>
    </row>
    <row r="156" ht="15.75" customHeight="1" s="101">
      <c r="A156" s="77" t="n"/>
      <c r="B156" s="78" t="n"/>
      <c r="C156" s="77" t="n"/>
      <c r="D156" s="77" t="n"/>
      <c r="E156" s="77" t="n"/>
      <c r="F156" s="77" t="n"/>
      <c r="G156" s="79" t="n"/>
      <c r="H156" s="77" t="n"/>
    </row>
    <row r="157" ht="15.75" customHeight="1" s="101">
      <c r="A157" s="77" t="n"/>
      <c r="B157" s="78" t="n"/>
      <c r="C157" s="77" t="n"/>
      <c r="D157" s="77" t="n"/>
      <c r="E157" s="77" t="n"/>
      <c r="F157" s="77" t="n"/>
      <c r="G157" s="79" t="n"/>
      <c r="H157" s="77" t="n"/>
    </row>
    <row r="158" ht="15.75" customHeight="1" s="101">
      <c r="A158" s="77" t="n"/>
      <c r="B158" s="78" t="n"/>
      <c r="C158" s="77" t="n"/>
      <c r="D158" s="77" t="n"/>
      <c r="E158" s="77" t="n"/>
      <c r="F158" s="77" t="n"/>
      <c r="G158" s="79" t="n"/>
      <c r="H158" s="77" t="n"/>
    </row>
    <row r="159" ht="15.75" customHeight="1" s="101">
      <c r="A159" s="77" t="n"/>
      <c r="B159" s="78" t="n"/>
      <c r="C159" s="77" t="n"/>
      <c r="D159" s="77" t="n"/>
      <c r="E159" s="77" t="n"/>
      <c r="F159" s="77" t="n"/>
      <c r="G159" s="79" t="n"/>
      <c r="H159" s="77" t="n"/>
    </row>
    <row r="160" ht="15.75" customHeight="1" s="101">
      <c r="A160" s="77" t="n"/>
      <c r="B160" s="78" t="n"/>
      <c r="C160" s="77" t="n"/>
      <c r="D160" s="77" t="n"/>
      <c r="E160" s="77" t="n"/>
      <c r="F160" s="77" t="n"/>
      <c r="G160" s="79" t="n"/>
      <c r="H160" s="77" t="n"/>
    </row>
    <row r="161" ht="15.75" customHeight="1" s="101">
      <c r="A161" s="77" t="n"/>
      <c r="B161" s="78" t="n"/>
      <c r="C161" s="77" t="n"/>
      <c r="D161" s="77" t="n"/>
      <c r="E161" s="77" t="n"/>
      <c r="F161" s="77" t="n"/>
      <c r="G161" s="79" t="n"/>
      <c r="H161" s="77" t="n"/>
    </row>
    <row r="162" ht="15.75" customHeight="1" s="101">
      <c r="A162" s="77" t="n"/>
      <c r="B162" s="78" t="n"/>
      <c r="C162" s="77" t="n"/>
      <c r="D162" s="77" t="n"/>
      <c r="E162" s="77" t="n"/>
      <c r="F162" s="77" t="n"/>
      <c r="G162" s="79" t="n"/>
      <c r="H162" s="77" t="n"/>
    </row>
    <row r="163" ht="15.75" customHeight="1" s="101">
      <c r="A163" s="77" t="n"/>
      <c r="B163" s="78" t="n"/>
      <c r="C163" s="77" t="n"/>
      <c r="D163" s="77" t="n"/>
      <c r="E163" s="77" t="n"/>
      <c r="F163" s="77" t="n"/>
      <c r="G163" s="79" t="n"/>
      <c r="H163" s="77" t="n"/>
    </row>
    <row r="164" ht="15.75" customHeight="1" s="101">
      <c r="A164" s="77" t="n"/>
      <c r="B164" s="78" t="n"/>
      <c r="C164" s="77" t="n"/>
      <c r="D164" s="77" t="n"/>
      <c r="E164" s="77" t="n"/>
      <c r="F164" s="77" t="n"/>
      <c r="G164" s="79" t="n"/>
      <c r="H164" s="77" t="n"/>
    </row>
    <row r="165" ht="15.75" customHeight="1" s="101">
      <c r="A165" s="77" t="n"/>
      <c r="B165" s="78" t="n"/>
      <c r="C165" s="77" t="n"/>
      <c r="D165" s="77" t="n"/>
      <c r="E165" s="77" t="n"/>
      <c r="F165" s="77" t="n"/>
      <c r="G165" s="79" t="n"/>
      <c r="H165" s="77" t="n"/>
    </row>
    <row r="166" ht="15.75" customHeight="1" s="101">
      <c r="A166" s="77" t="n"/>
      <c r="B166" s="78" t="n"/>
      <c r="C166" s="77" t="n"/>
      <c r="D166" s="77" t="n"/>
      <c r="E166" s="77" t="n"/>
      <c r="F166" s="77" t="n"/>
      <c r="G166" s="79" t="n"/>
      <c r="H166" s="77" t="n"/>
    </row>
    <row r="167" ht="15.75" customHeight="1" s="101">
      <c r="A167" s="77" t="n"/>
      <c r="B167" s="78" t="n"/>
      <c r="C167" s="77" t="n"/>
      <c r="D167" s="77" t="n"/>
      <c r="E167" s="77" t="n"/>
      <c r="F167" s="77" t="n"/>
      <c r="G167" s="79" t="n"/>
      <c r="H167" s="77" t="n"/>
    </row>
    <row r="168" ht="15.75" customHeight="1" s="101">
      <c r="A168" s="77" t="n"/>
      <c r="B168" s="78" t="n"/>
      <c r="C168" s="77" t="n"/>
      <c r="D168" s="77" t="n"/>
      <c r="E168" s="77" t="n"/>
      <c r="F168" s="77" t="n"/>
      <c r="G168" s="79" t="n"/>
      <c r="H168" s="77" t="n"/>
    </row>
    <row r="169" ht="15.75" customHeight="1" s="101">
      <c r="A169" s="77" t="n"/>
      <c r="B169" s="78" t="n"/>
      <c r="C169" s="77" t="n"/>
      <c r="D169" s="77" t="n"/>
      <c r="E169" s="77" t="n"/>
      <c r="F169" s="77" t="n"/>
      <c r="G169" s="79" t="n"/>
      <c r="H169" s="77" t="n"/>
    </row>
    <row r="170" ht="15.75" customHeight="1" s="101">
      <c r="A170" s="77" t="n"/>
      <c r="B170" s="78" t="n"/>
      <c r="C170" s="77" t="n"/>
      <c r="D170" s="77" t="n"/>
      <c r="E170" s="77" t="n"/>
      <c r="F170" s="77" t="n"/>
      <c r="G170" s="79" t="n"/>
      <c r="H170" s="77" t="n"/>
    </row>
    <row r="171" ht="15.75" customHeight="1" s="101">
      <c r="A171" s="77" t="n"/>
      <c r="B171" s="78" t="n"/>
      <c r="C171" s="77" t="n"/>
      <c r="D171" s="77" t="n"/>
      <c r="E171" s="77" t="n"/>
      <c r="F171" s="77" t="n"/>
      <c r="G171" s="79" t="n"/>
      <c r="H171" s="77" t="n"/>
    </row>
    <row r="172" ht="15.75" customHeight="1" s="101">
      <c r="A172" s="77" t="n"/>
      <c r="B172" s="78" t="n"/>
      <c r="C172" s="77" t="n"/>
      <c r="D172" s="77" t="n"/>
      <c r="E172" s="77" t="n"/>
      <c r="F172" s="77" t="n"/>
      <c r="G172" s="79" t="n"/>
      <c r="H172" s="77" t="n"/>
    </row>
    <row r="173" ht="15.75" customHeight="1" s="101">
      <c r="A173" s="77" t="n"/>
      <c r="B173" s="78" t="n"/>
      <c r="C173" s="77" t="n"/>
      <c r="D173" s="77" t="n"/>
      <c r="E173" s="77" t="n"/>
      <c r="F173" s="77" t="n"/>
      <c r="G173" s="79" t="n"/>
      <c r="H173" s="77" t="n"/>
    </row>
    <row r="174" ht="15.75" customHeight="1" s="101">
      <c r="A174" s="77" t="n"/>
      <c r="B174" s="78" t="n"/>
      <c r="C174" s="77" t="n"/>
      <c r="D174" s="77" t="n"/>
      <c r="E174" s="77" t="n"/>
      <c r="F174" s="77" t="n"/>
      <c r="G174" s="79" t="n"/>
      <c r="H174" s="77" t="n"/>
    </row>
    <row r="175" ht="15.75" customHeight="1" s="101">
      <c r="A175" s="77" t="n"/>
      <c r="B175" s="78" t="n"/>
      <c r="C175" s="77" t="n"/>
      <c r="D175" s="77" t="n"/>
      <c r="E175" s="77" t="n"/>
      <c r="F175" s="77" t="n"/>
      <c r="G175" s="79" t="n"/>
      <c r="H175" s="77" t="n"/>
    </row>
    <row r="176" ht="15.75" customHeight="1" s="101">
      <c r="A176" s="77" t="n"/>
      <c r="B176" s="78" t="n"/>
      <c r="C176" s="77" t="n"/>
      <c r="D176" s="77" t="n"/>
      <c r="E176" s="77" t="n"/>
      <c r="F176" s="77" t="n"/>
      <c r="G176" s="79" t="n"/>
      <c r="H176" s="77" t="n"/>
    </row>
    <row r="177" ht="15.75" customHeight="1" s="101">
      <c r="A177" s="77" t="n"/>
      <c r="B177" s="78" t="n"/>
      <c r="C177" s="77" t="n"/>
      <c r="D177" s="77" t="n"/>
      <c r="E177" s="77" t="n"/>
      <c r="F177" s="77" t="n"/>
      <c r="G177" s="79" t="n"/>
      <c r="H177" s="77" t="n"/>
    </row>
    <row r="178" ht="15.75" customHeight="1" s="101">
      <c r="A178" s="77" t="n"/>
      <c r="B178" s="78" t="n"/>
      <c r="C178" s="77" t="n"/>
      <c r="D178" s="77" t="n"/>
      <c r="E178" s="77" t="n"/>
      <c r="F178" s="77" t="n"/>
      <c r="G178" s="79" t="n"/>
      <c r="H178" s="77" t="n"/>
    </row>
    <row r="179" ht="15.75" customHeight="1" s="101">
      <c r="A179" s="77" t="n"/>
      <c r="B179" s="78" t="n"/>
      <c r="C179" s="77" t="n"/>
      <c r="D179" s="77" t="n"/>
      <c r="E179" s="77" t="n"/>
      <c r="F179" s="77" t="n"/>
      <c r="G179" s="79" t="n"/>
      <c r="H179" s="77" t="n"/>
    </row>
    <row r="180" ht="15.75" customHeight="1" s="101">
      <c r="A180" s="77" t="n"/>
      <c r="B180" s="78" t="n"/>
      <c r="C180" s="77" t="n"/>
      <c r="D180" s="77" t="n"/>
      <c r="E180" s="77" t="n"/>
      <c r="F180" s="77" t="n"/>
      <c r="G180" s="79" t="n"/>
      <c r="H180" s="77" t="n"/>
    </row>
    <row r="181" ht="15.75" customHeight="1" s="101">
      <c r="A181" s="77" t="n"/>
      <c r="B181" s="78" t="n"/>
      <c r="C181" s="77" t="n"/>
      <c r="D181" s="77" t="n"/>
      <c r="E181" s="77" t="n"/>
      <c r="F181" s="77" t="n"/>
      <c r="G181" s="79" t="n"/>
      <c r="H181" s="77" t="n"/>
    </row>
    <row r="182" ht="15.75" customHeight="1" s="101">
      <c r="A182" s="77" t="n"/>
      <c r="B182" s="78" t="n"/>
      <c r="C182" s="77" t="n"/>
      <c r="D182" s="77" t="n"/>
      <c r="E182" s="77" t="n"/>
      <c r="F182" s="77" t="n"/>
      <c r="G182" s="79" t="n"/>
      <c r="H182" s="77" t="n"/>
    </row>
    <row r="183" ht="15.75" customHeight="1" s="101">
      <c r="A183" s="77" t="n"/>
      <c r="B183" s="78" t="n"/>
      <c r="C183" s="77" t="n"/>
      <c r="D183" s="77" t="n"/>
      <c r="E183" s="77" t="n"/>
      <c r="F183" s="77" t="n"/>
      <c r="G183" s="79" t="n"/>
      <c r="H183" s="77" t="n"/>
    </row>
    <row r="184" ht="15.75" customHeight="1" s="101">
      <c r="A184" s="77" t="n"/>
      <c r="B184" s="78" t="n"/>
      <c r="C184" s="77" t="n"/>
      <c r="D184" s="77" t="n"/>
      <c r="E184" s="77" t="n"/>
      <c r="F184" s="77" t="n"/>
      <c r="G184" s="79" t="n"/>
      <c r="H184" s="77" t="n"/>
    </row>
    <row r="185" ht="15.75" customHeight="1" s="101">
      <c r="A185" s="77" t="n"/>
      <c r="B185" s="78" t="n"/>
      <c r="C185" s="77" t="n"/>
      <c r="D185" s="77" t="n"/>
      <c r="E185" s="77" t="n"/>
      <c r="F185" s="77" t="n"/>
      <c r="G185" s="79" t="n"/>
      <c r="H185" s="77" t="n"/>
    </row>
    <row r="186" ht="15.75" customHeight="1" s="101">
      <c r="A186" s="77" t="n"/>
      <c r="B186" s="78" t="n"/>
      <c r="C186" s="77" t="n"/>
      <c r="D186" s="77" t="n"/>
      <c r="E186" s="77" t="n"/>
      <c r="F186" s="77" t="n"/>
      <c r="G186" s="79" t="n"/>
      <c r="H186" s="77" t="n"/>
    </row>
    <row r="187" ht="15.75" customHeight="1" s="101">
      <c r="A187" s="77" t="n"/>
      <c r="B187" s="78" t="n"/>
      <c r="C187" s="77" t="n"/>
      <c r="D187" s="77" t="n"/>
      <c r="E187" s="77" t="n"/>
      <c r="F187" s="77" t="n"/>
      <c r="G187" s="79" t="n"/>
      <c r="H187" s="77" t="n"/>
    </row>
    <row r="188" ht="15.75" customHeight="1" s="101">
      <c r="A188" s="100" t="n"/>
      <c r="B188" s="81" t="n"/>
      <c r="D188" s="100" t="n"/>
      <c r="E188" s="100" t="n"/>
      <c r="F188" s="100" t="n"/>
      <c r="H188" s="100" t="n"/>
    </row>
    <row r="189" ht="15.75" customHeight="1" s="101">
      <c r="A189" s="100" t="n"/>
      <c r="B189" s="81" t="n"/>
      <c r="D189" s="100" t="n"/>
      <c r="E189" s="100" t="n"/>
      <c r="F189" s="100" t="n"/>
      <c r="H189" s="100" t="n"/>
    </row>
    <row r="190" ht="15.75" customHeight="1" s="101">
      <c r="A190" s="100" t="n"/>
      <c r="B190" s="81" t="n"/>
      <c r="D190" s="100" t="n"/>
      <c r="E190" s="100" t="n"/>
      <c r="F190" s="100" t="n"/>
      <c r="H190" s="100" t="n"/>
    </row>
    <row r="191" ht="15.75" customHeight="1" s="101">
      <c r="A191" s="100" t="n"/>
      <c r="B191" s="81" t="n"/>
      <c r="D191" s="100" t="n"/>
      <c r="E191" s="100" t="n"/>
      <c r="F191" s="100" t="n"/>
      <c r="H191" s="100" t="n"/>
    </row>
    <row r="192" ht="15.75" customHeight="1" s="101">
      <c r="A192" s="100" t="n"/>
      <c r="B192" s="81" t="n"/>
      <c r="D192" s="100" t="n"/>
      <c r="E192" s="100" t="n"/>
      <c r="F192" s="100" t="n"/>
      <c r="H192" s="100" t="n"/>
    </row>
    <row r="193" ht="15.75" customHeight="1" s="101">
      <c r="A193" s="100" t="n"/>
      <c r="B193" s="81" t="n"/>
      <c r="D193" s="100" t="n"/>
      <c r="E193" s="100" t="n"/>
      <c r="F193" s="100" t="n"/>
      <c r="H193" s="100" t="n"/>
    </row>
    <row r="194" ht="15.75" customHeight="1" s="101">
      <c r="A194" s="100" t="n"/>
      <c r="B194" s="81" t="n"/>
      <c r="D194" s="100" t="n"/>
      <c r="E194" s="100" t="n"/>
      <c r="F194" s="100" t="n"/>
      <c r="H194" s="100" t="n"/>
    </row>
    <row r="195" ht="15.75" customHeight="1" s="101">
      <c r="A195" s="100" t="n"/>
      <c r="B195" s="81" t="n"/>
      <c r="D195" s="100" t="n"/>
      <c r="E195" s="100" t="n"/>
      <c r="F195" s="100" t="n"/>
      <c r="H195" s="100" t="n"/>
    </row>
    <row r="196" ht="15.75" customHeight="1" s="101">
      <c r="A196" s="100" t="n"/>
      <c r="B196" s="81" t="n"/>
      <c r="D196" s="100" t="n"/>
      <c r="E196" s="100" t="n"/>
      <c r="F196" s="100" t="n"/>
      <c r="H196" s="100" t="n"/>
    </row>
    <row r="197" ht="15.75" customHeight="1" s="101">
      <c r="A197" s="100" t="n"/>
      <c r="B197" s="81" t="n"/>
      <c r="D197" s="100" t="n"/>
      <c r="E197" s="100" t="n"/>
      <c r="F197" s="100" t="n"/>
      <c r="H197" s="100" t="n"/>
    </row>
    <row r="198" ht="15.75" customHeight="1" s="101">
      <c r="A198" s="100" t="n"/>
      <c r="B198" s="81" t="n"/>
      <c r="D198" s="100" t="n"/>
      <c r="E198" s="100" t="n"/>
      <c r="F198" s="100" t="n"/>
      <c r="H198" s="100" t="n"/>
    </row>
    <row r="199" ht="15.75" customHeight="1" s="101">
      <c r="A199" s="100" t="n"/>
      <c r="B199" s="81" t="n"/>
      <c r="D199" s="100" t="n"/>
      <c r="E199" s="100" t="n"/>
      <c r="F199" s="100" t="n"/>
      <c r="H199" s="100" t="n"/>
    </row>
    <row r="200" ht="15.75" customHeight="1" s="101">
      <c r="A200" s="100" t="n"/>
      <c r="B200" s="81" t="n"/>
      <c r="D200" s="100" t="n"/>
      <c r="E200" s="100" t="n"/>
      <c r="F200" s="100" t="n"/>
      <c r="H200" s="100" t="n"/>
    </row>
    <row r="201" ht="15.75" customHeight="1" s="101">
      <c r="A201" s="100" t="n"/>
      <c r="B201" s="81" t="n"/>
      <c r="D201" s="100" t="n"/>
      <c r="E201" s="100" t="n"/>
      <c r="F201" s="100" t="n"/>
      <c r="H201" s="100" t="n"/>
    </row>
    <row r="202" ht="15.75" customHeight="1" s="101">
      <c r="A202" s="100" t="n"/>
      <c r="B202" s="81" t="n"/>
      <c r="D202" s="100" t="n"/>
      <c r="E202" s="100" t="n"/>
      <c r="F202" s="100" t="n"/>
      <c r="H202" s="100" t="n"/>
    </row>
    <row r="203" ht="15.75" customHeight="1" s="101">
      <c r="A203" s="100" t="n"/>
      <c r="B203" s="81" t="n"/>
      <c r="D203" s="100" t="n"/>
      <c r="E203" s="100" t="n"/>
      <c r="F203" s="100" t="n"/>
      <c r="H203" s="100" t="n"/>
    </row>
    <row r="204" ht="15.75" customHeight="1" s="101">
      <c r="A204" s="100" t="n"/>
      <c r="B204" s="81" t="n"/>
      <c r="D204" s="100" t="n"/>
      <c r="E204" s="100" t="n"/>
      <c r="F204" s="100" t="n"/>
      <c r="H204" s="100" t="n"/>
    </row>
    <row r="205" ht="15.75" customHeight="1" s="101">
      <c r="A205" s="100" t="n"/>
      <c r="B205" s="81" t="n"/>
      <c r="D205" s="100" t="n"/>
      <c r="E205" s="100" t="n"/>
      <c r="F205" s="100" t="n"/>
      <c r="H205" s="100" t="n"/>
    </row>
    <row r="206" ht="15.75" customHeight="1" s="101">
      <c r="A206" s="100" t="n"/>
      <c r="B206" s="81" t="n"/>
      <c r="D206" s="100" t="n"/>
      <c r="E206" s="100" t="n"/>
      <c r="F206" s="100" t="n"/>
      <c r="H206" s="100" t="n"/>
    </row>
    <row r="207" ht="15.75" customHeight="1" s="101">
      <c r="A207" s="100" t="n"/>
      <c r="B207" s="81" t="n"/>
      <c r="D207" s="100" t="n"/>
      <c r="E207" s="100" t="n"/>
      <c r="F207" s="100" t="n"/>
      <c r="H207" s="100" t="n"/>
    </row>
    <row r="208" ht="15.75" customHeight="1" s="101">
      <c r="A208" s="100" t="n"/>
      <c r="B208" s="81" t="n"/>
      <c r="D208" s="100" t="n"/>
      <c r="E208" s="100" t="n"/>
      <c r="F208" s="100" t="n"/>
      <c r="H208" s="100" t="n"/>
    </row>
    <row r="209" ht="15.75" customHeight="1" s="101">
      <c r="A209" s="100" t="n"/>
      <c r="B209" s="81" t="n"/>
      <c r="D209" s="100" t="n"/>
      <c r="E209" s="100" t="n"/>
      <c r="F209" s="100" t="n"/>
      <c r="H209" s="100" t="n"/>
    </row>
    <row r="210" ht="15.75" customHeight="1" s="101">
      <c r="A210" s="100" t="n"/>
      <c r="B210" s="81" t="n"/>
      <c r="D210" s="100" t="n"/>
      <c r="E210" s="100" t="n"/>
      <c r="F210" s="100" t="n"/>
      <c r="H210" s="100" t="n"/>
    </row>
    <row r="211" ht="15.75" customHeight="1" s="101">
      <c r="A211" s="100" t="n"/>
      <c r="B211" s="81" t="n"/>
      <c r="D211" s="100" t="n"/>
      <c r="E211" s="100" t="n"/>
      <c r="F211" s="100" t="n"/>
      <c r="H211" s="100" t="n"/>
    </row>
    <row r="212" ht="15.75" customHeight="1" s="101">
      <c r="A212" s="100" t="n"/>
      <c r="B212" s="81" t="n"/>
      <c r="D212" s="100" t="n"/>
      <c r="E212" s="100" t="n"/>
      <c r="F212" s="100" t="n"/>
      <c r="H212" s="100" t="n"/>
    </row>
    <row r="213" ht="15.75" customHeight="1" s="101">
      <c r="A213" s="100" t="n"/>
      <c r="B213" s="81" t="n"/>
      <c r="D213" s="100" t="n"/>
      <c r="E213" s="100" t="n"/>
      <c r="F213" s="100" t="n"/>
      <c r="H213" s="100" t="n"/>
    </row>
    <row r="214" ht="15.75" customHeight="1" s="101">
      <c r="A214" s="100" t="n"/>
      <c r="B214" s="81" t="n"/>
      <c r="D214" s="100" t="n"/>
      <c r="E214" s="100" t="n"/>
      <c r="F214" s="100" t="n"/>
      <c r="H214" s="100" t="n"/>
    </row>
    <row r="215" ht="15.75" customHeight="1" s="101">
      <c r="A215" s="100" t="n"/>
      <c r="B215" s="81" t="n"/>
      <c r="D215" s="100" t="n"/>
      <c r="E215" s="100" t="n"/>
      <c r="F215" s="100" t="n"/>
      <c r="H215" s="100" t="n"/>
    </row>
    <row r="216" ht="15.75" customHeight="1" s="101">
      <c r="A216" s="100" t="n"/>
      <c r="B216" s="81" t="n"/>
      <c r="D216" s="100" t="n"/>
      <c r="E216" s="100" t="n"/>
      <c r="F216" s="100" t="n"/>
      <c r="H216" s="100" t="n"/>
    </row>
    <row r="217" ht="15.75" customHeight="1" s="101">
      <c r="A217" s="100" t="n"/>
      <c r="B217" s="81" t="n"/>
      <c r="D217" s="100" t="n"/>
      <c r="E217" s="100" t="n"/>
      <c r="F217" s="100" t="n"/>
      <c r="H217" s="100" t="n"/>
    </row>
    <row r="218" ht="15.75" customHeight="1" s="101">
      <c r="A218" s="100" t="n"/>
      <c r="B218" s="81" t="n"/>
      <c r="D218" s="100" t="n"/>
      <c r="E218" s="100" t="n"/>
      <c r="F218" s="100" t="n"/>
      <c r="H218" s="100" t="n"/>
    </row>
    <row r="219" ht="15.75" customHeight="1" s="101">
      <c r="A219" s="100" t="n"/>
      <c r="B219" s="81" t="n"/>
      <c r="D219" s="100" t="n"/>
      <c r="E219" s="100" t="n"/>
      <c r="F219" s="100" t="n"/>
      <c r="H219" s="100" t="n"/>
    </row>
    <row r="220" ht="15.75" customHeight="1" s="101">
      <c r="A220" s="100" t="n"/>
      <c r="B220" s="81" t="n"/>
      <c r="D220" s="100" t="n"/>
      <c r="E220" s="100" t="n"/>
      <c r="F220" s="100" t="n"/>
      <c r="H220" s="100" t="n"/>
    </row>
    <row r="221" ht="15.75" customHeight="1" s="101">
      <c r="A221" s="100" t="n"/>
      <c r="B221" s="81" t="n"/>
      <c r="D221" s="100" t="n"/>
      <c r="E221" s="100" t="n"/>
      <c r="F221" s="100" t="n"/>
      <c r="H221" s="100" t="n"/>
    </row>
    <row r="222" ht="15.75" customHeight="1" s="101">
      <c r="A222" s="100" t="n"/>
      <c r="B222" s="81" t="n"/>
      <c r="D222" s="100" t="n"/>
      <c r="E222" s="100" t="n"/>
      <c r="F222" s="100" t="n"/>
      <c r="H222" s="100" t="n"/>
    </row>
    <row r="223" ht="15.75" customHeight="1" s="101">
      <c r="A223" s="100" t="n"/>
      <c r="B223" s="81" t="n"/>
      <c r="D223" s="100" t="n"/>
      <c r="E223" s="100" t="n"/>
      <c r="F223" s="100" t="n"/>
      <c r="H223" s="100" t="n"/>
    </row>
    <row r="224" ht="15.75" customHeight="1" s="101">
      <c r="A224" s="100" t="n"/>
      <c r="B224" s="81" t="n"/>
      <c r="D224" s="100" t="n"/>
      <c r="E224" s="100" t="n"/>
      <c r="F224" s="100" t="n"/>
      <c r="H224" s="100" t="n"/>
    </row>
    <row r="225" ht="15.75" customHeight="1" s="101">
      <c r="A225" s="100" t="n"/>
      <c r="B225" s="81" t="n"/>
      <c r="D225" s="100" t="n"/>
      <c r="E225" s="100" t="n"/>
      <c r="F225" s="100" t="n"/>
      <c r="H225" s="100" t="n"/>
    </row>
    <row r="226" ht="15.75" customHeight="1" s="101">
      <c r="A226" s="100" t="n"/>
      <c r="B226" s="81" t="n"/>
      <c r="D226" s="100" t="n"/>
      <c r="E226" s="100" t="n"/>
      <c r="F226" s="100" t="n"/>
      <c r="H226" s="100" t="n"/>
    </row>
    <row r="227" ht="15.75" customHeight="1" s="101">
      <c r="A227" s="100" t="n"/>
      <c r="B227" s="81" t="n"/>
      <c r="D227" s="100" t="n"/>
      <c r="E227" s="100" t="n"/>
      <c r="F227" s="100" t="n"/>
      <c r="H227" s="100" t="n"/>
    </row>
    <row r="228" ht="15.75" customHeight="1" s="101">
      <c r="A228" s="100" t="n"/>
      <c r="B228" s="81" t="n"/>
      <c r="D228" s="100" t="n"/>
      <c r="E228" s="100" t="n"/>
      <c r="F228" s="100" t="n"/>
      <c r="H228" s="100" t="n"/>
    </row>
    <row r="229" ht="15.75" customHeight="1" s="101">
      <c r="A229" s="100" t="n"/>
      <c r="B229" s="81" t="n"/>
      <c r="D229" s="100" t="n"/>
      <c r="E229" s="100" t="n"/>
      <c r="F229" s="100" t="n"/>
      <c r="H229" s="100" t="n"/>
    </row>
    <row r="230" ht="15.75" customHeight="1" s="101">
      <c r="A230" s="100" t="n"/>
      <c r="B230" s="81" t="n"/>
      <c r="D230" s="100" t="n"/>
      <c r="E230" s="100" t="n"/>
      <c r="F230" s="100" t="n"/>
      <c r="H230" s="100" t="n"/>
    </row>
    <row r="231" ht="15.75" customHeight="1" s="101">
      <c r="A231" s="100" t="n"/>
      <c r="B231" s="81" t="n"/>
      <c r="D231" s="100" t="n"/>
      <c r="E231" s="100" t="n"/>
      <c r="F231" s="100" t="n"/>
      <c r="H231" s="100" t="n"/>
    </row>
    <row r="232" ht="15.75" customHeight="1" s="101">
      <c r="A232" s="100" t="n"/>
      <c r="B232" s="81" t="n"/>
      <c r="D232" s="100" t="n"/>
      <c r="E232" s="100" t="n"/>
      <c r="F232" s="100" t="n"/>
      <c r="H232" s="100" t="n"/>
    </row>
    <row r="233" ht="15.75" customHeight="1" s="101">
      <c r="A233" s="100" t="n"/>
      <c r="B233" s="81" t="n"/>
      <c r="D233" s="100" t="n"/>
      <c r="E233" s="100" t="n"/>
      <c r="F233" s="100" t="n"/>
      <c r="H233" s="100" t="n"/>
    </row>
    <row r="234" ht="15.75" customHeight="1" s="101">
      <c r="A234" s="100" t="n"/>
      <c r="B234" s="81" t="n"/>
      <c r="D234" s="100" t="n"/>
      <c r="E234" s="100" t="n"/>
      <c r="F234" s="100" t="n"/>
      <c r="H234" s="100" t="n"/>
    </row>
    <row r="235" ht="15.75" customHeight="1" s="101">
      <c r="A235" s="100" t="n"/>
      <c r="B235" s="81" t="n"/>
      <c r="D235" s="100" t="n"/>
      <c r="E235" s="100" t="n"/>
      <c r="F235" s="100" t="n"/>
      <c r="H235" s="100" t="n"/>
    </row>
    <row r="236" ht="15.75" customHeight="1" s="101">
      <c r="A236" s="100" t="n"/>
      <c r="B236" s="81" t="n"/>
      <c r="D236" s="100" t="n"/>
      <c r="E236" s="100" t="n"/>
      <c r="F236" s="100" t="n"/>
      <c r="H236" s="100" t="n"/>
    </row>
    <row r="237" ht="15.75" customHeight="1" s="101">
      <c r="A237" s="100" t="n"/>
      <c r="B237" s="81" t="n"/>
      <c r="D237" s="100" t="n"/>
      <c r="E237" s="100" t="n"/>
      <c r="F237" s="100" t="n"/>
      <c r="H237" s="100" t="n"/>
    </row>
    <row r="238" ht="15.75" customHeight="1" s="101">
      <c r="A238" s="100" t="n"/>
      <c r="B238" s="81" t="n"/>
      <c r="D238" s="100" t="n"/>
      <c r="E238" s="100" t="n"/>
      <c r="F238" s="100" t="n"/>
      <c r="H238" s="100" t="n"/>
    </row>
    <row r="239" ht="15.75" customHeight="1" s="101">
      <c r="A239" s="100" t="n"/>
      <c r="B239" s="81" t="n"/>
      <c r="D239" s="100" t="n"/>
      <c r="E239" s="100" t="n"/>
      <c r="F239" s="100" t="n"/>
      <c r="H239" s="100" t="n"/>
    </row>
    <row r="240" ht="15.75" customHeight="1" s="101">
      <c r="A240" s="100" t="n"/>
      <c r="B240" s="81" t="n"/>
      <c r="D240" s="100" t="n"/>
      <c r="E240" s="100" t="n"/>
      <c r="F240" s="100" t="n"/>
      <c r="H240" s="100" t="n"/>
    </row>
    <row r="241" ht="15.75" customHeight="1" s="101">
      <c r="A241" s="100" t="n"/>
      <c r="B241" s="81" t="n"/>
      <c r="D241" s="100" t="n"/>
      <c r="E241" s="100" t="n"/>
      <c r="F241" s="100" t="n"/>
      <c r="H241" s="100" t="n"/>
    </row>
    <row r="242" ht="15.75" customHeight="1" s="101">
      <c r="A242" s="100" t="n"/>
      <c r="B242" s="81" t="n"/>
      <c r="D242" s="100" t="n"/>
      <c r="E242" s="100" t="n"/>
      <c r="F242" s="100" t="n"/>
      <c r="H242" s="100" t="n"/>
    </row>
    <row r="243" ht="15.75" customHeight="1" s="101">
      <c r="A243" s="100" t="n"/>
      <c r="B243" s="81" t="n"/>
      <c r="D243" s="100" t="n"/>
      <c r="E243" s="100" t="n"/>
      <c r="F243" s="100" t="n"/>
      <c r="H243" s="100" t="n"/>
    </row>
    <row r="244" ht="15.75" customHeight="1" s="101">
      <c r="A244" s="100" t="n"/>
      <c r="B244" s="81" t="n"/>
      <c r="D244" s="100" t="n"/>
      <c r="E244" s="100" t="n"/>
      <c r="F244" s="100" t="n"/>
      <c r="H244" s="100" t="n"/>
    </row>
    <row r="245" ht="15.75" customHeight="1" s="101">
      <c r="A245" s="100" t="n"/>
      <c r="B245" s="81" t="n"/>
      <c r="D245" s="100" t="n"/>
      <c r="E245" s="100" t="n"/>
      <c r="F245" s="100" t="n"/>
      <c r="H245" s="100" t="n"/>
    </row>
    <row r="246" ht="15.75" customHeight="1" s="101">
      <c r="A246" s="100" t="n"/>
      <c r="B246" s="81" t="n"/>
      <c r="D246" s="100" t="n"/>
      <c r="E246" s="100" t="n"/>
      <c r="F246" s="100" t="n"/>
      <c r="H246" s="100" t="n"/>
    </row>
    <row r="247" ht="15.75" customHeight="1" s="101">
      <c r="A247" s="100" t="n"/>
      <c r="B247" s="81" t="n"/>
      <c r="D247" s="100" t="n"/>
      <c r="E247" s="100" t="n"/>
      <c r="F247" s="100" t="n"/>
      <c r="H247" s="100" t="n"/>
    </row>
    <row r="248" ht="15.75" customHeight="1" s="101">
      <c r="A248" s="100" t="n"/>
      <c r="B248" s="81" t="n"/>
      <c r="D248" s="100" t="n"/>
      <c r="E248" s="100" t="n"/>
      <c r="F248" s="100" t="n"/>
      <c r="H248" s="100" t="n"/>
    </row>
    <row r="249" ht="15.75" customHeight="1" s="101">
      <c r="A249" s="100" t="n"/>
      <c r="B249" s="81" t="n"/>
      <c r="D249" s="100" t="n"/>
      <c r="E249" s="100" t="n"/>
      <c r="F249" s="100" t="n"/>
      <c r="H249" s="100" t="n"/>
    </row>
    <row r="250" ht="15.75" customHeight="1" s="101">
      <c r="A250" s="100" t="n"/>
      <c r="B250" s="81" t="n"/>
      <c r="D250" s="100" t="n"/>
      <c r="E250" s="100" t="n"/>
      <c r="F250" s="100" t="n"/>
      <c r="H250" s="100" t="n"/>
    </row>
    <row r="251" ht="15.75" customHeight="1" s="101">
      <c r="A251" s="100" t="n"/>
      <c r="B251" s="81" t="n"/>
      <c r="D251" s="100" t="n"/>
      <c r="E251" s="100" t="n"/>
      <c r="F251" s="100" t="n"/>
      <c r="H251" s="100" t="n"/>
    </row>
    <row r="252" ht="15.75" customHeight="1" s="101">
      <c r="A252" s="100" t="n"/>
      <c r="B252" s="81" t="n"/>
      <c r="D252" s="100" t="n"/>
      <c r="E252" s="100" t="n"/>
      <c r="F252" s="100" t="n"/>
      <c r="H252" s="100" t="n"/>
    </row>
    <row r="253" ht="15.75" customHeight="1" s="101">
      <c r="A253" s="100" t="n"/>
      <c r="B253" s="81" t="n"/>
      <c r="D253" s="100" t="n"/>
      <c r="E253" s="100" t="n"/>
      <c r="F253" s="100" t="n"/>
      <c r="H253" s="100" t="n"/>
    </row>
    <row r="254" ht="15.75" customHeight="1" s="101">
      <c r="A254" s="100" t="n"/>
      <c r="B254" s="81" t="n"/>
      <c r="D254" s="100" t="n"/>
      <c r="E254" s="100" t="n"/>
      <c r="F254" s="100" t="n"/>
      <c r="H254" s="100" t="n"/>
    </row>
    <row r="255" ht="15.75" customHeight="1" s="101">
      <c r="A255" s="100" t="n"/>
      <c r="B255" s="81" t="n"/>
      <c r="D255" s="100" t="n"/>
      <c r="E255" s="100" t="n"/>
      <c r="F255" s="100" t="n"/>
      <c r="H255" s="100" t="n"/>
    </row>
    <row r="256" ht="15.75" customHeight="1" s="101">
      <c r="A256" s="100" t="n"/>
      <c r="B256" s="81" t="n"/>
      <c r="D256" s="100" t="n"/>
      <c r="E256" s="100" t="n"/>
      <c r="F256" s="100" t="n"/>
      <c r="H256" s="100" t="n"/>
    </row>
    <row r="257" ht="15.75" customHeight="1" s="101">
      <c r="A257" s="100" t="n"/>
      <c r="B257" s="81" t="n"/>
      <c r="D257" s="100" t="n"/>
      <c r="E257" s="100" t="n"/>
      <c r="F257" s="100" t="n"/>
      <c r="H257" s="100" t="n"/>
    </row>
    <row r="258" ht="15.75" customHeight="1" s="101">
      <c r="A258" s="100" t="n"/>
      <c r="B258" s="81" t="n"/>
      <c r="D258" s="100" t="n"/>
      <c r="E258" s="100" t="n"/>
      <c r="F258" s="100" t="n"/>
      <c r="H258" s="100" t="n"/>
    </row>
    <row r="259" ht="15.75" customHeight="1" s="101">
      <c r="A259" s="100" t="n"/>
      <c r="B259" s="81" t="n"/>
      <c r="D259" s="100" t="n"/>
      <c r="E259" s="100" t="n"/>
      <c r="F259" s="100" t="n"/>
      <c r="H259" s="100" t="n"/>
    </row>
    <row r="260" ht="15.75" customHeight="1" s="101">
      <c r="A260" s="100" t="n"/>
      <c r="B260" s="81" t="n"/>
      <c r="D260" s="100" t="n"/>
      <c r="E260" s="100" t="n"/>
      <c r="F260" s="100" t="n"/>
      <c r="H260" s="100" t="n"/>
    </row>
    <row r="261" ht="15.75" customHeight="1" s="101">
      <c r="A261" s="100" t="n"/>
      <c r="B261" s="81" t="n"/>
      <c r="D261" s="100" t="n"/>
      <c r="E261" s="100" t="n"/>
      <c r="F261" s="100" t="n"/>
      <c r="H261" s="100" t="n"/>
    </row>
    <row r="262" ht="15.75" customHeight="1" s="101">
      <c r="A262" s="100" t="n"/>
      <c r="B262" s="81" t="n"/>
      <c r="D262" s="100" t="n"/>
      <c r="E262" s="100" t="n"/>
      <c r="F262" s="100" t="n"/>
      <c r="H262" s="100" t="n"/>
    </row>
    <row r="263" ht="15.75" customHeight="1" s="101">
      <c r="A263" s="100" t="n"/>
      <c r="B263" s="81" t="n"/>
      <c r="D263" s="100" t="n"/>
      <c r="E263" s="100" t="n"/>
      <c r="F263" s="100" t="n"/>
      <c r="H263" s="100" t="n"/>
    </row>
    <row r="264" ht="15.75" customHeight="1" s="101">
      <c r="A264" s="100" t="n"/>
      <c r="B264" s="81" t="n"/>
      <c r="D264" s="100" t="n"/>
      <c r="E264" s="100" t="n"/>
      <c r="F264" s="100" t="n"/>
      <c r="H264" s="100" t="n"/>
    </row>
    <row r="265" ht="15.75" customHeight="1" s="101">
      <c r="A265" s="100" t="n"/>
      <c r="B265" s="81" t="n"/>
      <c r="D265" s="100" t="n"/>
      <c r="E265" s="100" t="n"/>
      <c r="F265" s="100" t="n"/>
      <c r="H265" s="100" t="n"/>
    </row>
    <row r="266" ht="15.75" customHeight="1" s="101">
      <c r="A266" s="100" t="n"/>
      <c r="B266" s="81" t="n"/>
      <c r="D266" s="100" t="n"/>
      <c r="E266" s="100" t="n"/>
      <c r="F266" s="100" t="n"/>
      <c r="H266" s="100" t="n"/>
    </row>
    <row r="267" ht="15.75" customHeight="1" s="101">
      <c r="A267" s="100" t="n"/>
      <c r="B267" s="81" t="n"/>
      <c r="D267" s="100" t="n"/>
      <c r="E267" s="100" t="n"/>
      <c r="F267" s="100" t="n"/>
      <c r="H267" s="100" t="n"/>
    </row>
    <row r="268" ht="15.75" customHeight="1" s="101">
      <c r="A268" s="100" t="n"/>
      <c r="B268" s="81" t="n"/>
      <c r="D268" s="100" t="n"/>
      <c r="E268" s="100" t="n"/>
      <c r="F268" s="100" t="n"/>
      <c r="H268" s="100" t="n"/>
    </row>
    <row r="269" ht="15.75" customHeight="1" s="101">
      <c r="A269" s="100" t="n"/>
      <c r="B269" s="81" t="n"/>
      <c r="D269" s="100" t="n"/>
      <c r="E269" s="100" t="n"/>
      <c r="F269" s="100" t="n"/>
      <c r="H269" s="100" t="n"/>
    </row>
    <row r="270" ht="15.75" customHeight="1" s="101">
      <c r="A270" s="100" t="n"/>
      <c r="B270" s="81" t="n"/>
      <c r="D270" s="100" t="n"/>
      <c r="E270" s="100" t="n"/>
      <c r="F270" s="100" t="n"/>
      <c r="H270" s="100" t="n"/>
    </row>
    <row r="271" ht="15.75" customHeight="1" s="101">
      <c r="A271" s="100" t="n"/>
      <c r="B271" s="81" t="n"/>
      <c r="D271" s="100" t="n"/>
      <c r="E271" s="100" t="n"/>
      <c r="F271" s="100" t="n"/>
      <c r="H271" s="100" t="n"/>
    </row>
    <row r="272" ht="15.75" customHeight="1" s="101">
      <c r="A272" s="100" t="n"/>
      <c r="B272" s="81" t="n"/>
      <c r="D272" s="100" t="n"/>
      <c r="E272" s="100" t="n"/>
      <c r="F272" s="100" t="n"/>
      <c r="H272" s="100" t="n"/>
    </row>
    <row r="273" ht="15.75" customHeight="1" s="101">
      <c r="A273" s="100" t="n"/>
      <c r="B273" s="81" t="n"/>
      <c r="D273" s="100" t="n"/>
      <c r="E273" s="100" t="n"/>
      <c r="F273" s="100" t="n"/>
      <c r="H273" s="100" t="n"/>
    </row>
    <row r="274" ht="15.75" customHeight="1" s="101">
      <c r="A274" s="100" t="n"/>
      <c r="B274" s="81" t="n"/>
      <c r="D274" s="100" t="n"/>
      <c r="E274" s="100" t="n"/>
      <c r="F274" s="100" t="n"/>
      <c r="H274" s="100" t="n"/>
    </row>
    <row r="275" ht="15.75" customHeight="1" s="101">
      <c r="A275" s="100" t="n"/>
      <c r="B275" s="81" t="n"/>
      <c r="D275" s="100" t="n"/>
      <c r="E275" s="100" t="n"/>
      <c r="F275" s="100" t="n"/>
      <c r="H275" s="100" t="n"/>
    </row>
    <row r="276" ht="15.75" customHeight="1" s="101">
      <c r="A276" s="100" t="n"/>
      <c r="B276" s="81" t="n"/>
      <c r="D276" s="100" t="n"/>
      <c r="E276" s="100" t="n"/>
      <c r="F276" s="100" t="n"/>
      <c r="H276" s="100" t="n"/>
    </row>
    <row r="277" ht="15.75" customHeight="1" s="101">
      <c r="A277" s="100" t="n"/>
      <c r="B277" s="81" t="n"/>
      <c r="D277" s="100" t="n"/>
      <c r="E277" s="100" t="n"/>
      <c r="F277" s="100" t="n"/>
      <c r="H277" s="100" t="n"/>
    </row>
    <row r="278" ht="15.75" customHeight="1" s="101">
      <c r="A278" s="100" t="n"/>
      <c r="B278" s="81" t="n"/>
      <c r="D278" s="100" t="n"/>
      <c r="E278" s="100" t="n"/>
      <c r="F278" s="100" t="n"/>
      <c r="H278" s="100" t="n"/>
    </row>
    <row r="279" ht="15.75" customHeight="1" s="101">
      <c r="A279" s="100" t="n"/>
      <c r="B279" s="81" t="n"/>
      <c r="D279" s="100" t="n"/>
      <c r="E279" s="100" t="n"/>
      <c r="F279" s="100" t="n"/>
      <c r="H279" s="100" t="n"/>
    </row>
    <row r="280" ht="15.75" customHeight="1" s="101">
      <c r="A280" s="100" t="n"/>
      <c r="B280" s="81" t="n"/>
      <c r="D280" s="100" t="n"/>
      <c r="E280" s="100" t="n"/>
      <c r="F280" s="100" t="n"/>
      <c r="H280" s="100" t="n"/>
    </row>
    <row r="281" ht="15.75" customHeight="1" s="101">
      <c r="A281" s="100" t="n"/>
      <c r="B281" s="81" t="n"/>
      <c r="D281" s="100" t="n"/>
      <c r="E281" s="100" t="n"/>
      <c r="F281" s="100" t="n"/>
      <c r="H281" s="100" t="n"/>
    </row>
    <row r="282" ht="15.75" customHeight="1" s="101">
      <c r="A282" s="100" t="n"/>
      <c r="B282" s="81" t="n"/>
      <c r="D282" s="100" t="n"/>
      <c r="E282" s="100" t="n"/>
      <c r="F282" s="100" t="n"/>
      <c r="H282" s="100" t="n"/>
    </row>
    <row r="283" ht="15.75" customHeight="1" s="101">
      <c r="A283" s="100" t="n"/>
      <c r="B283" s="81" t="n"/>
      <c r="D283" s="100" t="n"/>
      <c r="E283" s="100" t="n"/>
      <c r="F283" s="100" t="n"/>
      <c r="H283" s="100" t="n"/>
    </row>
    <row r="284" ht="15.75" customHeight="1" s="101">
      <c r="A284" s="100" t="n"/>
      <c r="B284" s="81" t="n"/>
      <c r="D284" s="100" t="n"/>
      <c r="E284" s="100" t="n"/>
      <c r="F284" s="100" t="n"/>
      <c r="H284" s="100" t="n"/>
    </row>
    <row r="285" ht="15.75" customHeight="1" s="101">
      <c r="A285" s="100" t="n"/>
      <c r="B285" s="81" t="n"/>
      <c r="D285" s="100" t="n"/>
      <c r="E285" s="100" t="n"/>
      <c r="F285" s="100" t="n"/>
      <c r="H285" s="100" t="n"/>
    </row>
    <row r="286" ht="15.75" customHeight="1" s="101">
      <c r="A286" s="100" t="n"/>
      <c r="B286" s="81" t="n"/>
      <c r="D286" s="100" t="n"/>
      <c r="E286" s="100" t="n"/>
      <c r="F286" s="100" t="n"/>
      <c r="H286" s="100" t="n"/>
    </row>
    <row r="287" ht="15.75" customHeight="1" s="101">
      <c r="A287" s="100" t="n"/>
      <c r="B287" s="81" t="n"/>
      <c r="D287" s="100" t="n"/>
      <c r="E287" s="100" t="n"/>
      <c r="F287" s="100" t="n"/>
      <c r="H287" s="100" t="n"/>
    </row>
    <row r="288" ht="15.75" customHeight="1" s="101">
      <c r="A288" s="100" t="n"/>
      <c r="B288" s="81" t="n"/>
      <c r="D288" s="100" t="n"/>
      <c r="E288" s="100" t="n"/>
      <c r="F288" s="100" t="n"/>
      <c r="H288" s="100" t="n"/>
    </row>
    <row r="289" ht="15.75" customHeight="1" s="101">
      <c r="A289" s="100" t="n"/>
      <c r="B289" s="81" t="n"/>
      <c r="D289" s="100" t="n"/>
      <c r="E289" s="100" t="n"/>
      <c r="F289" s="100" t="n"/>
      <c r="H289" s="100" t="n"/>
    </row>
    <row r="290" ht="15.75" customHeight="1" s="101">
      <c r="A290" s="100" t="n"/>
      <c r="B290" s="81" t="n"/>
      <c r="D290" s="100" t="n"/>
      <c r="E290" s="100" t="n"/>
      <c r="F290" s="100" t="n"/>
      <c r="H290" s="100" t="n"/>
    </row>
    <row r="291" ht="15.75" customHeight="1" s="101">
      <c r="A291" s="100" t="n"/>
      <c r="B291" s="81" t="n"/>
      <c r="D291" s="100" t="n"/>
      <c r="E291" s="100" t="n"/>
      <c r="F291" s="100" t="n"/>
      <c r="H291" s="100" t="n"/>
    </row>
    <row r="292" ht="15.75" customHeight="1" s="101">
      <c r="A292" s="100" t="n"/>
      <c r="B292" s="81" t="n"/>
      <c r="D292" s="100" t="n"/>
      <c r="E292" s="100" t="n"/>
      <c r="F292" s="100" t="n"/>
      <c r="H292" s="100" t="n"/>
    </row>
    <row r="293" ht="15.75" customHeight="1" s="101">
      <c r="A293" s="100" t="n"/>
      <c r="B293" s="81" t="n"/>
      <c r="D293" s="100" t="n"/>
      <c r="E293" s="100" t="n"/>
      <c r="F293" s="100" t="n"/>
      <c r="H293" s="100" t="n"/>
    </row>
    <row r="294" ht="15.75" customHeight="1" s="101">
      <c r="A294" s="100" t="n"/>
      <c r="B294" s="81" t="n"/>
      <c r="D294" s="100" t="n"/>
      <c r="E294" s="100" t="n"/>
      <c r="F294" s="100" t="n"/>
      <c r="H294" s="100" t="n"/>
    </row>
    <row r="295" ht="15.75" customHeight="1" s="101">
      <c r="A295" s="100" t="n"/>
      <c r="B295" s="81" t="n"/>
      <c r="D295" s="100" t="n"/>
      <c r="E295" s="100" t="n"/>
      <c r="F295" s="100" t="n"/>
      <c r="H295" s="100" t="n"/>
    </row>
    <row r="296" ht="15.75" customHeight="1" s="101">
      <c r="A296" s="100" t="n"/>
      <c r="B296" s="81" t="n"/>
      <c r="D296" s="100" t="n"/>
      <c r="E296" s="100" t="n"/>
      <c r="F296" s="100" t="n"/>
      <c r="H296" s="100" t="n"/>
    </row>
    <row r="297" ht="15.75" customHeight="1" s="101">
      <c r="A297" s="100" t="n"/>
      <c r="B297" s="81" t="n"/>
      <c r="D297" s="100" t="n"/>
      <c r="E297" s="100" t="n"/>
      <c r="F297" s="100" t="n"/>
      <c r="H297" s="100" t="n"/>
    </row>
    <row r="298" ht="15.75" customHeight="1" s="101">
      <c r="A298" s="100" t="n"/>
      <c r="B298" s="81" t="n"/>
      <c r="D298" s="100" t="n"/>
      <c r="E298" s="100" t="n"/>
      <c r="F298" s="100" t="n"/>
      <c r="H298" s="100" t="n"/>
    </row>
    <row r="299" ht="15.75" customHeight="1" s="101">
      <c r="A299" s="100" t="n"/>
      <c r="B299" s="81" t="n"/>
      <c r="D299" s="100" t="n"/>
      <c r="E299" s="100" t="n"/>
      <c r="F299" s="100" t="n"/>
      <c r="H299" s="100" t="n"/>
    </row>
    <row r="300" ht="15.75" customHeight="1" s="101">
      <c r="A300" s="100" t="n"/>
      <c r="B300" s="81" t="n"/>
      <c r="D300" s="100" t="n"/>
      <c r="E300" s="100" t="n"/>
      <c r="F300" s="100" t="n"/>
      <c r="H300" s="100" t="n"/>
    </row>
    <row r="301" ht="15.75" customHeight="1" s="101">
      <c r="A301" s="100" t="n"/>
      <c r="B301" s="81" t="n"/>
      <c r="D301" s="100" t="n"/>
      <c r="E301" s="100" t="n"/>
      <c r="F301" s="100" t="n"/>
      <c r="H301" s="100" t="n"/>
    </row>
    <row r="302" ht="15.75" customHeight="1" s="101">
      <c r="A302" s="100" t="n"/>
      <c r="B302" s="81" t="n"/>
      <c r="D302" s="100" t="n"/>
      <c r="E302" s="100" t="n"/>
      <c r="F302" s="100" t="n"/>
      <c r="H302" s="100" t="n"/>
    </row>
    <row r="303" ht="15.75" customHeight="1" s="101">
      <c r="A303" s="100" t="n"/>
      <c r="B303" s="81" t="n"/>
      <c r="D303" s="100" t="n"/>
      <c r="E303" s="100" t="n"/>
      <c r="F303" s="100" t="n"/>
      <c r="H303" s="100" t="n"/>
    </row>
    <row r="304" ht="15.75" customHeight="1" s="101">
      <c r="A304" s="100" t="n"/>
      <c r="B304" s="81" t="n"/>
      <c r="D304" s="100" t="n"/>
      <c r="E304" s="100" t="n"/>
      <c r="F304" s="100" t="n"/>
      <c r="H304" s="100" t="n"/>
    </row>
    <row r="305" ht="15.75" customHeight="1" s="101">
      <c r="A305" s="100" t="n"/>
      <c r="B305" s="81" t="n"/>
      <c r="D305" s="100" t="n"/>
      <c r="E305" s="100" t="n"/>
      <c r="F305" s="100" t="n"/>
      <c r="H305" s="100" t="n"/>
    </row>
    <row r="306" ht="15.75" customHeight="1" s="101">
      <c r="A306" s="100" t="n"/>
      <c r="B306" s="81" t="n"/>
      <c r="D306" s="100" t="n"/>
      <c r="E306" s="100" t="n"/>
      <c r="F306" s="100" t="n"/>
      <c r="H306" s="100" t="n"/>
    </row>
    <row r="307" ht="15.75" customHeight="1" s="101">
      <c r="A307" s="100" t="n"/>
      <c r="B307" s="81" t="n"/>
      <c r="D307" s="100" t="n"/>
      <c r="E307" s="100" t="n"/>
      <c r="F307" s="100" t="n"/>
      <c r="H307" s="100" t="n"/>
    </row>
    <row r="308" ht="15.75" customHeight="1" s="101">
      <c r="A308" s="100" t="n"/>
      <c r="B308" s="81" t="n"/>
      <c r="D308" s="100" t="n"/>
      <c r="E308" s="100" t="n"/>
      <c r="F308" s="100" t="n"/>
      <c r="H308" s="100" t="n"/>
    </row>
    <row r="309" ht="15.75" customHeight="1" s="101">
      <c r="A309" s="100" t="n"/>
      <c r="B309" s="81" t="n"/>
      <c r="D309" s="100" t="n"/>
      <c r="E309" s="100" t="n"/>
      <c r="F309" s="100" t="n"/>
      <c r="H309" s="100" t="n"/>
    </row>
    <row r="310" ht="15.75" customHeight="1" s="101">
      <c r="A310" s="100" t="n"/>
      <c r="B310" s="81" t="n"/>
      <c r="D310" s="100" t="n"/>
      <c r="E310" s="100" t="n"/>
      <c r="F310" s="100" t="n"/>
      <c r="H310" s="100" t="n"/>
    </row>
    <row r="311" ht="15.75" customHeight="1" s="101">
      <c r="A311" s="100" t="n"/>
      <c r="B311" s="81" t="n"/>
      <c r="D311" s="100" t="n"/>
      <c r="E311" s="100" t="n"/>
      <c r="F311" s="100" t="n"/>
      <c r="H311" s="100" t="n"/>
    </row>
    <row r="312" ht="15.75" customHeight="1" s="101">
      <c r="A312" s="100" t="n"/>
      <c r="B312" s="81" t="n"/>
      <c r="D312" s="100" t="n"/>
      <c r="E312" s="100" t="n"/>
      <c r="F312" s="100" t="n"/>
      <c r="H312" s="100" t="n"/>
    </row>
    <row r="313" ht="15.75" customHeight="1" s="101">
      <c r="A313" s="100" t="n"/>
      <c r="B313" s="81" t="n"/>
      <c r="D313" s="100" t="n"/>
      <c r="E313" s="100" t="n"/>
      <c r="F313" s="100" t="n"/>
      <c r="H313" s="100" t="n"/>
    </row>
    <row r="314" ht="15.75" customHeight="1" s="101">
      <c r="A314" s="100" t="n"/>
      <c r="B314" s="81" t="n"/>
      <c r="D314" s="100" t="n"/>
      <c r="E314" s="100" t="n"/>
      <c r="F314" s="100" t="n"/>
      <c r="H314" s="100" t="n"/>
    </row>
    <row r="315" ht="15.75" customHeight="1" s="101">
      <c r="A315" s="100" t="n"/>
      <c r="B315" s="81" t="n"/>
      <c r="D315" s="100" t="n"/>
      <c r="E315" s="100" t="n"/>
      <c r="F315" s="100" t="n"/>
      <c r="H315" s="100" t="n"/>
    </row>
    <row r="316" ht="15.75" customHeight="1" s="101">
      <c r="A316" s="100" t="n"/>
      <c r="B316" s="81" t="n"/>
      <c r="D316" s="100" t="n"/>
      <c r="E316" s="100" t="n"/>
      <c r="F316" s="100" t="n"/>
      <c r="H316" s="100" t="n"/>
    </row>
    <row r="317" ht="15.75" customHeight="1" s="101">
      <c r="A317" s="100" t="n"/>
      <c r="B317" s="81" t="n"/>
      <c r="D317" s="100" t="n"/>
      <c r="E317" s="100" t="n"/>
      <c r="F317" s="100" t="n"/>
      <c r="H317" s="100" t="n"/>
    </row>
    <row r="318" ht="15.75" customHeight="1" s="101">
      <c r="A318" s="100" t="n"/>
      <c r="B318" s="81" t="n"/>
      <c r="D318" s="100" t="n"/>
      <c r="E318" s="100" t="n"/>
      <c r="F318" s="100" t="n"/>
      <c r="H318" s="100" t="n"/>
    </row>
    <row r="319" ht="15.75" customHeight="1" s="101">
      <c r="A319" s="100" t="n"/>
      <c r="B319" s="81" t="n"/>
      <c r="D319" s="100" t="n"/>
      <c r="E319" s="100" t="n"/>
      <c r="F319" s="100" t="n"/>
      <c r="H319" s="100" t="n"/>
    </row>
    <row r="320" ht="15.75" customHeight="1" s="101">
      <c r="A320" s="100" t="n"/>
      <c r="B320" s="81" t="n"/>
      <c r="D320" s="100" t="n"/>
      <c r="E320" s="100" t="n"/>
      <c r="F320" s="100" t="n"/>
      <c r="H320" s="100" t="n"/>
    </row>
    <row r="321" ht="15.75" customHeight="1" s="101">
      <c r="A321" s="100" t="n"/>
      <c r="B321" s="81" t="n"/>
      <c r="D321" s="100" t="n"/>
      <c r="E321" s="100" t="n"/>
      <c r="F321" s="100" t="n"/>
      <c r="H321" s="100" t="n"/>
    </row>
    <row r="322" ht="15.75" customHeight="1" s="101">
      <c r="A322" s="100" t="n"/>
      <c r="B322" s="81" t="n"/>
      <c r="D322" s="100" t="n"/>
      <c r="E322" s="100" t="n"/>
      <c r="F322" s="100" t="n"/>
      <c r="H322" s="100" t="n"/>
    </row>
    <row r="323" ht="15.75" customHeight="1" s="101">
      <c r="A323" s="100" t="n"/>
      <c r="B323" s="81" t="n"/>
      <c r="D323" s="100" t="n"/>
      <c r="E323" s="100" t="n"/>
      <c r="F323" s="100" t="n"/>
      <c r="H323" s="100" t="n"/>
    </row>
    <row r="324" ht="15.75" customHeight="1" s="101">
      <c r="A324" s="100" t="n"/>
      <c r="B324" s="81" t="n"/>
      <c r="D324" s="100" t="n"/>
      <c r="E324" s="100" t="n"/>
      <c r="F324" s="100" t="n"/>
      <c r="H324" s="100" t="n"/>
    </row>
    <row r="325" ht="15.75" customHeight="1" s="101">
      <c r="A325" s="100" t="n"/>
      <c r="B325" s="81" t="n"/>
      <c r="D325" s="100" t="n"/>
      <c r="E325" s="100" t="n"/>
      <c r="F325" s="100" t="n"/>
      <c r="H325" s="100" t="n"/>
    </row>
    <row r="326" ht="15.75" customHeight="1" s="101">
      <c r="A326" s="100" t="n"/>
      <c r="B326" s="81" t="n"/>
      <c r="D326" s="100" t="n"/>
      <c r="E326" s="100" t="n"/>
      <c r="F326" s="100" t="n"/>
      <c r="H326" s="100" t="n"/>
    </row>
    <row r="327" ht="15.75" customHeight="1" s="101">
      <c r="A327" s="100" t="n"/>
      <c r="B327" s="81" t="n"/>
      <c r="D327" s="100" t="n"/>
      <c r="E327" s="100" t="n"/>
      <c r="F327" s="100" t="n"/>
      <c r="H327" s="100" t="n"/>
    </row>
    <row r="328" ht="15.75" customHeight="1" s="101">
      <c r="A328" s="100" t="n"/>
      <c r="B328" s="81" t="n"/>
      <c r="D328" s="100" t="n"/>
      <c r="E328" s="100" t="n"/>
      <c r="F328" s="100" t="n"/>
      <c r="H328" s="100" t="n"/>
    </row>
    <row r="329" ht="15.75" customHeight="1" s="101">
      <c r="A329" s="100" t="n"/>
      <c r="B329" s="81" t="n"/>
      <c r="D329" s="100" t="n"/>
      <c r="E329" s="100" t="n"/>
      <c r="F329" s="100" t="n"/>
      <c r="H329" s="100" t="n"/>
    </row>
    <row r="330" ht="15.75" customHeight="1" s="101">
      <c r="A330" s="100" t="n"/>
      <c r="B330" s="81" t="n"/>
      <c r="D330" s="100" t="n"/>
      <c r="E330" s="100" t="n"/>
      <c r="F330" s="100" t="n"/>
      <c r="H330" s="100" t="n"/>
    </row>
    <row r="331" ht="15.75" customHeight="1" s="101">
      <c r="A331" s="100" t="n"/>
      <c r="B331" s="81" t="n"/>
      <c r="D331" s="100" t="n"/>
      <c r="E331" s="100" t="n"/>
      <c r="F331" s="100" t="n"/>
      <c r="H331" s="100" t="n"/>
    </row>
    <row r="332" ht="15.75" customHeight="1" s="101">
      <c r="A332" s="100" t="n"/>
      <c r="B332" s="81" t="n"/>
      <c r="D332" s="100" t="n"/>
      <c r="E332" s="100" t="n"/>
      <c r="F332" s="100" t="n"/>
      <c r="H332" s="100" t="n"/>
    </row>
    <row r="333" ht="15.75" customHeight="1" s="101">
      <c r="A333" s="100" t="n"/>
      <c r="B333" s="81" t="n"/>
      <c r="D333" s="100" t="n"/>
      <c r="E333" s="100" t="n"/>
      <c r="F333" s="100" t="n"/>
      <c r="H333" s="100" t="n"/>
    </row>
    <row r="334" ht="15.75" customHeight="1" s="101">
      <c r="A334" s="100" t="n"/>
      <c r="B334" s="81" t="n"/>
      <c r="D334" s="100" t="n"/>
      <c r="E334" s="100" t="n"/>
      <c r="F334" s="100" t="n"/>
      <c r="H334" s="100" t="n"/>
    </row>
    <row r="335" ht="15.75" customHeight="1" s="101">
      <c r="A335" s="100" t="n"/>
      <c r="B335" s="81" t="n"/>
      <c r="D335" s="100" t="n"/>
      <c r="E335" s="100" t="n"/>
      <c r="F335" s="100" t="n"/>
      <c r="H335" s="100" t="n"/>
    </row>
    <row r="336" ht="15.75" customHeight="1" s="101">
      <c r="A336" s="100" t="n"/>
      <c r="B336" s="81" t="n"/>
      <c r="D336" s="100" t="n"/>
      <c r="E336" s="100" t="n"/>
      <c r="F336" s="100" t="n"/>
      <c r="H336" s="100" t="n"/>
    </row>
    <row r="337" ht="15.75" customHeight="1" s="101">
      <c r="A337" s="100" t="n"/>
      <c r="B337" s="81" t="n"/>
      <c r="D337" s="100" t="n"/>
      <c r="E337" s="100" t="n"/>
      <c r="F337" s="100" t="n"/>
      <c r="H337" s="100" t="n"/>
    </row>
    <row r="338" ht="15.75" customHeight="1" s="101">
      <c r="A338" s="100" t="n"/>
      <c r="B338" s="81" t="n"/>
      <c r="D338" s="100" t="n"/>
      <c r="E338" s="100" t="n"/>
      <c r="F338" s="100" t="n"/>
      <c r="H338" s="100" t="n"/>
    </row>
    <row r="339" ht="15.75" customHeight="1" s="101">
      <c r="A339" s="100" t="n"/>
      <c r="B339" s="81" t="n"/>
      <c r="D339" s="100" t="n"/>
      <c r="E339" s="100" t="n"/>
      <c r="F339" s="100" t="n"/>
      <c r="H339" s="100" t="n"/>
    </row>
    <row r="340" ht="15.75" customHeight="1" s="101">
      <c r="A340" s="100" t="n"/>
      <c r="B340" s="81" t="n"/>
      <c r="D340" s="100" t="n"/>
      <c r="E340" s="100" t="n"/>
      <c r="F340" s="100" t="n"/>
      <c r="H340" s="100" t="n"/>
    </row>
    <row r="341" ht="15.75" customHeight="1" s="101">
      <c r="A341" s="100" t="n"/>
      <c r="B341" s="81" t="n"/>
      <c r="D341" s="100" t="n"/>
      <c r="E341" s="100" t="n"/>
      <c r="F341" s="100" t="n"/>
      <c r="H341" s="100" t="n"/>
    </row>
    <row r="342" ht="15.75" customHeight="1" s="101">
      <c r="A342" s="100" t="n"/>
      <c r="B342" s="81" t="n"/>
      <c r="D342" s="100" t="n"/>
      <c r="E342" s="100" t="n"/>
      <c r="F342" s="100" t="n"/>
      <c r="H342" s="100" t="n"/>
    </row>
    <row r="343" ht="15.75" customHeight="1" s="101">
      <c r="A343" s="100" t="n"/>
      <c r="B343" s="81" t="n"/>
      <c r="D343" s="100" t="n"/>
      <c r="E343" s="100" t="n"/>
      <c r="F343" s="100" t="n"/>
      <c r="H343" s="100" t="n"/>
    </row>
    <row r="344" ht="15.75" customHeight="1" s="101">
      <c r="A344" s="100" t="n"/>
      <c r="B344" s="81" t="n"/>
      <c r="D344" s="100" t="n"/>
      <c r="E344" s="100" t="n"/>
      <c r="F344" s="100" t="n"/>
      <c r="H344" s="100" t="n"/>
    </row>
    <row r="345" ht="15.75" customHeight="1" s="101">
      <c r="A345" s="100" t="n"/>
      <c r="B345" s="81" t="n"/>
      <c r="D345" s="100" t="n"/>
      <c r="E345" s="100" t="n"/>
      <c r="F345" s="100" t="n"/>
      <c r="H345" s="100" t="n"/>
    </row>
    <row r="346" ht="15.75" customHeight="1" s="101">
      <c r="A346" s="100" t="n"/>
      <c r="B346" s="81" t="n"/>
      <c r="D346" s="100" t="n"/>
      <c r="E346" s="100" t="n"/>
      <c r="F346" s="100" t="n"/>
      <c r="H346" s="100" t="n"/>
    </row>
    <row r="347" ht="15.75" customHeight="1" s="101">
      <c r="A347" s="100" t="n"/>
      <c r="B347" s="81" t="n"/>
      <c r="D347" s="100" t="n"/>
      <c r="E347" s="100" t="n"/>
      <c r="F347" s="100" t="n"/>
      <c r="H347" s="100" t="n"/>
    </row>
    <row r="348" ht="15.75" customHeight="1" s="101">
      <c r="A348" s="100" t="n"/>
      <c r="B348" s="81" t="n"/>
      <c r="D348" s="100" t="n"/>
      <c r="E348" s="100" t="n"/>
      <c r="F348" s="100" t="n"/>
      <c r="H348" s="100" t="n"/>
    </row>
    <row r="349" ht="15.75" customHeight="1" s="101">
      <c r="A349" s="100" t="n"/>
      <c r="B349" s="81" t="n"/>
      <c r="D349" s="100" t="n"/>
      <c r="E349" s="100" t="n"/>
      <c r="F349" s="100" t="n"/>
      <c r="H349" s="100" t="n"/>
    </row>
    <row r="350" ht="15.75" customHeight="1" s="101">
      <c r="A350" s="100" t="n"/>
      <c r="B350" s="81" t="n"/>
      <c r="D350" s="100" t="n"/>
      <c r="E350" s="100" t="n"/>
      <c r="F350" s="100" t="n"/>
      <c r="H350" s="100" t="n"/>
    </row>
    <row r="351" ht="15.75" customHeight="1" s="101">
      <c r="A351" s="100" t="n"/>
      <c r="B351" s="81" t="n"/>
      <c r="D351" s="100" t="n"/>
      <c r="E351" s="100" t="n"/>
      <c r="F351" s="100" t="n"/>
      <c r="H351" s="100" t="n"/>
    </row>
    <row r="352" ht="15.75" customHeight="1" s="101">
      <c r="A352" s="100" t="n"/>
      <c r="B352" s="81" t="n"/>
      <c r="D352" s="100" t="n"/>
      <c r="E352" s="100" t="n"/>
      <c r="F352" s="100" t="n"/>
      <c r="H352" s="100" t="n"/>
    </row>
    <row r="353" ht="15.75" customHeight="1" s="101">
      <c r="A353" s="100" t="n"/>
      <c r="B353" s="81" t="n"/>
      <c r="D353" s="100" t="n"/>
      <c r="E353" s="100" t="n"/>
      <c r="F353" s="100" t="n"/>
      <c r="H353" s="100" t="n"/>
    </row>
    <row r="354" ht="15.75" customHeight="1" s="101">
      <c r="A354" s="100" t="n"/>
      <c r="B354" s="81" t="n"/>
      <c r="D354" s="100" t="n"/>
      <c r="E354" s="100" t="n"/>
      <c r="F354" s="100" t="n"/>
      <c r="H354" s="100" t="n"/>
    </row>
    <row r="355" ht="15.75" customHeight="1" s="101">
      <c r="A355" s="100" t="n"/>
      <c r="B355" s="81" t="n"/>
      <c r="D355" s="100" t="n"/>
      <c r="E355" s="100" t="n"/>
      <c r="F355" s="100" t="n"/>
      <c r="H355" s="100" t="n"/>
    </row>
    <row r="356" ht="15.75" customHeight="1" s="101">
      <c r="A356" s="100" t="n"/>
      <c r="B356" s="81" t="n"/>
      <c r="D356" s="100" t="n"/>
      <c r="E356" s="100" t="n"/>
      <c r="F356" s="100" t="n"/>
      <c r="H356" s="100" t="n"/>
    </row>
    <row r="357" ht="15.75" customHeight="1" s="101">
      <c r="A357" s="100" t="n"/>
      <c r="B357" s="81" t="n"/>
      <c r="D357" s="100" t="n"/>
      <c r="E357" s="100" t="n"/>
      <c r="F357" s="100" t="n"/>
      <c r="H357" s="100" t="n"/>
    </row>
    <row r="358" ht="15.75" customHeight="1" s="101">
      <c r="A358" s="100" t="n"/>
      <c r="B358" s="81" t="n"/>
      <c r="D358" s="100" t="n"/>
      <c r="E358" s="100" t="n"/>
      <c r="F358" s="100" t="n"/>
      <c r="H358" s="100" t="n"/>
    </row>
    <row r="359" ht="15.75" customHeight="1" s="101">
      <c r="A359" s="100" t="n"/>
      <c r="B359" s="81" t="n"/>
      <c r="D359" s="100" t="n"/>
      <c r="E359" s="100" t="n"/>
      <c r="F359" s="100" t="n"/>
      <c r="H359" s="100" t="n"/>
    </row>
    <row r="360" ht="15.75" customHeight="1" s="101">
      <c r="A360" s="100" t="n"/>
      <c r="B360" s="81" t="n"/>
      <c r="D360" s="100" t="n"/>
      <c r="E360" s="100" t="n"/>
      <c r="F360" s="100" t="n"/>
      <c r="H360" s="100" t="n"/>
    </row>
    <row r="361" ht="15.75" customHeight="1" s="101">
      <c r="A361" s="100" t="n"/>
      <c r="B361" s="81" t="n"/>
      <c r="D361" s="100" t="n"/>
      <c r="E361" s="100" t="n"/>
      <c r="F361" s="100" t="n"/>
      <c r="H361" s="100" t="n"/>
    </row>
    <row r="362" ht="15.75" customHeight="1" s="101">
      <c r="A362" s="100" t="n"/>
      <c r="B362" s="81" t="n"/>
      <c r="D362" s="100" t="n"/>
      <c r="E362" s="100" t="n"/>
      <c r="F362" s="100" t="n"/>
      <c r="H362" s="100" t="n"/>
    </row>
    <row r="363" ht="15.75" customHeight="1" s="101">
      <c r="A363" s="100" t="n"/>
      <c r="B363" s="81" t="n"/>
      <c r="D363" s="100" t="n"/>
      <c r="E363" s="100" t="n"/>
      <c r="F363" s="100" t="n"/>
      <c r="H363" s="100" t="n"/>
    </row>
    <row r="364" ht="15.75" customHeight="1" s="101">
      <c r="A364" s="100" t="n"/>
      <c r="B364" s="81" t="n"/>
      <c r="D364" s="100" t="n"/>
      <c r="E364" s="100" t="n"/>
      <c r="F364" s="100" t="n"/>
      <c r="H364" s="100" t="n"/>
    </row>
    <row r="365" ht="15.75" customHeight="1" s="101">
      <c r="A365" s="100" t="n"/>
      <c r="B365" s="81" t="n"/>
      <c r="D365" s="100" t="n"/>
      <c r="E365" s="100" t="n"/>
      <c r="F365" s="100" t="n"/>
      <c r="H365" s="100" t="n"/>
    </row>
    <row r="366" ht="15.75" customHeight="1" s="101">
      <c r="A366" s="100" t="n"/>
      <c r="B366" s="81" t="n"/>
      <c r="D366" s="100" t="n"/>
      <c r="E366" s="100" t="n"/>
      <c r="F366" s="100" t="n"/>
      <c r="H366" s="100" t="n"/>
    </row>
    <row r="367" ht="15.75" customHeight="1" s="101">
      <c r="A367" s="100" t="n"/>
      <c r="B367" s="81" t="n"/>
      <c r="D367" s="100" t="n"/>
      <c r="E367" s="100" t="n"/>
      <c r="F367" s="100" t="n"/>
      <c r="H367" s="100" t="n"/>
    </row>
    <row r="368" ht="15.75" customHeight="1" s="101">
      <c r="A368" s="100" t="n"/>
      <c r="B368" s="81" t="n"/>
      <c r="D368" s="100" t="n"/>
      <c r="E368" s="100" t="n"/>
      <c r="F368" s="100" t="n"/>
      <c r="H368" s="100" t="n"/>
    </row>
    <row r="369" ht="15.75" customHeight="1" s="101">
      <c r="A369" s="100" t="n"/>
      <c r="B369" s="81" t="n"/>
      <c r="D369" s="100" t="n"/>
      <c r="E369" s="100" t="n"/>
      <c r="F369" s="100" t="n"/>
      <c r="H369" s="100" t="n"/>
    </row>
    <row r="370" ht="15.75" customHeight="1" s="101">
      <c r="A370" s="100" t="n"/>
      <c r="B370" s="81" t="n"/>
      <c r="D370" s="100" t="n"/>
      <c r="E370" s="100" t="n"/>
      <c r="F370" s="100" t="n"/>
      <c r="H370" s="100" t="n"/>
    </row>
    <row r="371" ht="15.75" customHeight="1" s="101">
      <c r="A371" s="100" t="n"/>
      <c r="B371" s="81" t="n"/>
      <c r="D371" s="100" t="n"/>
      <c r="E371" s="100" t="n"/>
      <c r="F371" s="100" t="n"/>
      <c r="H371" s="100" t="n"/>
    </row>
    <row r="372" ht="15.75" customHeight="1" s="101">
      <c r="A372" s="100" t="n"/>
      <c r="B372" s="81" t="n"/>
      <c r="D372" s="100" t="n"/>
      <c r="E372" s="100" t="n"/>
      <c r="F372" s="100" t="n"/>
      <c r="H372" s="100" t="n"/>
    </row>
    <row r="373" ht="15.75" customHeight="1" s="101">
      <c r="A373" s="100" t="n"/>
      <c r="B373" s="81" t="n"/>
      <c r="D373" s="100" t="n"/>
      <c r="E373" s="100" t="n"/>
      <c r="F373" s="100" t="n"/>
      <c r="H373" s="100" t="n"/>
    </row>
    <row r="374" ht="15.75" customHeight="1" s="101">
      <c r="A374" s="100" t="n"/>
      <c r="B374" s="81" t="n"/>
      <c r="D374" s="100" t="n"/>
      <c r="E374" s="100" t="n"/>
      <c r="F374" s="100" t="n"/>
      <c r="H374" s="100" t="n"/>
    </row>
    <row r="375" ht="15.75" customHeight="1" s="101">
      <c r="A375" s="100" t="n"/>
      <c r="B375" s="81" t="n"/>
      <c r="D375" s="100" t="n"/>
      <c r="E375" s="100" t="n"/>
      <c r="F375" s="100" t="n"/>
      <c r="H375" s="100" t="n"/>
    </row>
    <row r="376" ht="15.75" customHeight="1" s="101">
      <c r="A376" s="100" t="n"/>
      <c r="B376" s="81" t="n"/>
      <c r="D376" s="100" t="n"/>
      <c r="E376" s="100" t="n"/>
      <c r="F376" s="100" t="n"/>
      <c r="H376" s="100" t="n"/>
    </row>
    <row r="377" ht="15.75" customHeight="1" s="101">
      <c r="A377" s="100" t="n"/>
      <c r="B377" s="81" t="n"/>
      <c r="D377" s="100" t="n"/>
      <c r="E377" s="100" t="n"/>
      <c r="F377" s="100" t="n"/>
      <c r="H377" s="100" t="n"/>
    </row>
    <row r="378" ht="15.75" customHeight="1" s="101">
      <c r="A378" s="100" t="n"/>
      <c r="B378" s="81" t="n"/>
      <c r="D378" s="100" t="n"/>
      <c r="E378" s="100" t="n"/>
      <c r="F378" s="100" t="n"/>
      <c r="H378" s="100" t="n"/>
    </row>
    <row r="379" ht="15.75" customHeight="1" s="101">
      <c r="A379" s="100" t="n"/>
      <c r="B379" s="81" t="n"/>
      <c r="D379" s="100" t="n"/>
      <c r="E379" s="100" t="n"/>
      <c r="F379" s="100" t="n"/>
      <c r="H379" s="100" t="n"/>
    </row>
    <row r="380" ht="15.75" customHeight="1" s="101">
      <c r="A380" s="100" t="n"/>
      <c r="B380" s="81" t="n"/>
      <c r="D380" s="100" t="n"/>
      <c r="E380" s="100" t="n"/>
      <c r="F380" s="100" t="n"/>
      <c r="H380" s="100" t="n"/>
    </row>
    <row r="381" ht="15.75" customHeight="1" s="101">
      <c r="A381" s="100" t="n"/>
      <c r="B381" s="81" t="n"/>
      <c r="D381" s="100" t="n"/>
      <c r="E381" s="100" t="n"/>
      <c r="F381" s="100" t="n"/>
      <c r="H381" s="100" t="n"/>
    </row>
    <row r="382" ht="15.75" customHeight="1" s="101">
      <c r="A382" s="100" t="n"/>
      <c r="B382" s="81" t="n"/>
      <c r="D382" s="100" t="n"/>
      <c r="E382" s="100" t="n"/>
      <c r="F382" s="100" t="n"/>
      <c r="H382" s="100" t="n"/>
    </row>
    <row r="383" ht="15.75" customHeight="1" s="101">
      <c r="A383" s="100" t="n"/>
      <c r="B383" s="81" t="n"/>
      <c r="D383" s="100" t="n"/>
      <c r="E383" s="100" t="n"/>
      <c r="F383" s="100" t="n"/>
      <c r="H383" s="100" t="n"/>
    </row>
    <row r="384" ht="15.75" customHeight="1" s="101">
      <c r="A384" s="100" t="n"/>
      <c r="B384" s="81" t="n"/>
      <c r="D384" s="100" t="n"/>
      <c r="E384" s="100" t="n"/>
      <c r="F384" s="100" t="n"/>
      <c r="H384" s="100" t="n"/>
    </row>
    <row r="385" ht="15.75" customHeight="1" s="101">
      <c r="A385" s="100" t="n"/>
      <c r="B385" s="81" t="n"/>
      <c r="D385" s="100" t="n"/>
      <c r="E385" s="100" t="n"/>
      <c r="F385" s="100" t="n"/>
      <c r="H385" s="100" t="n"/>
    </row>
    <row r="386" ht="15.75" customHeight="1" s="101">
      <c r="A386" s="100" t="n"/>
      <c r="B386" s="81" t="n"/>
      <c r="D386" s="100" t="n"/>
      <c r="E386" s="100" t="n"/>
      <c r="F386" s="100" t="n"/>
      <c r="H386" s="100" t="n"/>
    </row>
    <row r="387" ht="15.75" customHeight="1" s="101">
      <c r="A387" s="100" t="n"/>
      <c r="B387" s="81" t="n"/>
      <c r="D387" s="100" t="n"/>
      <c r="E387" s="100" t="n"/>
      <c r="F387" s="100" t="n"/>
      <c r="H387" s="100" t="n"/>
    </row>
    <row r="388" ht="15.75" customHeight="1" s="101">
      <c r="A388" s="100" t="n"/>
      <c r="B388" s="81" t="n"/>
      <c r="D388" s="100" t="n"/>
      <c r="E388" s="100" t="n"/>
      <c r="F388" s="100" t="n"/>
      <c r="H388" s="100" t="n"/>
    </row>
    <row r="389" ht="15.75" customHeight="1" s="101">
      <c r="A389" s="100" t="n"/>
      <c r="B389" s="81" t="n"/>
      <c r="D389" s="100" t="n"/>
      <c r="E389" s="100" t="n"/>
      <c r="F389" s="100" t="n"/>
      <c r="H389" s="100" t="n"/>
    </row>
    <row r="390" ht="15.75" customHeight="1" s="101">
      <c r="A390" s="100" t="n"/>
      <c r="B390" s="81" t="n"/>
      <c r="D390" s="100" t="n"/>
      <c r="E390" s="100" t="n"/>
      <c r="F390" s="100" t="n"/>
      <c r="H390" s="100" t="n"/>
    </row>
    <row r="391" ht="15.75" customHeight="1" s="101">
      <c r="A391" s="100" t="n"/>
      <c r="B391" s="81" t="n"/>
      <c r="D391" s="100" t="n"/>
      <c r="E391" s="100" t="n"/>
      <c r="F391" s="100" t="n"/>
      <c r="H391" s="100" t="n"/>
    </row>
    <row r="392" ht="15.75" customHeight="1" s="101">
      <c r="A392" s="100" t="n"/>
      <c r="B392" s="81" t="n"/>
      <c r="D392" s="100" t="n"/>
      <c r="E392" s="100" t="n"/>
      <c r="F392" s="100" t="n"/>
      <c r="H392" s="100" t="n"/>
    </row>
    <row r="393" ht="15.75" customHeight="1" s="101">
      <c r="A393" s="100" t="n"/>
      <c r="B393" s="81" t="n"/>
      <c r="D393" s="100" t="n"/>
      <c r="E393" s="100" t="n"/>
      <c r="F393" s="100" t="n"/>
      <c r="H393" s="100" t="n"/>
    </row>
    <row r="394" ht="15.75" customHeight="1" s="101">
      <c r="A394" s="100" t="n"/>
      <c r="B394" s="81" t="n"/>
      <c r="D394" s="100" t="n"/>
      <c r="E394" s="100" t="n"/>
      <c r="F394" s="100" t="n"/>
      <c r="H394" s="100" t="n"/>
    </row>
    <row r="395" ht="15.75" customHeight="1" s="101">
      <c r="A395" s="100" t="n"/>
      <c r="B395" s="81" t="n"/>
      <c r="D395" s="100" t="n"/>
      <c r="E395" s="100" t="n"/>
      <c r="F395" s="100" t="n"/>
      <c r="H395" s="100" t="n"/>
    </row>
    <row r="396" ht="15.75" customHeight="1" s="101">
      <c r="A396" s="100" t="n"/>
      <c r="B396" s="81" t="n"/>
      <c r="D396" s="100" t="n"/>
      <c r="E396" s="100" t="n"/>
      <c r="F396" s="100" t="n"/>
      <c r="H396" s="100" t="n"/>
    </row>
    <row r="397" ht="15.75" customHeight="1" s="101">
      <c r="A397" s="100" t="n"/>
      <c r="B397" s="81" t="n"/>
      <c r="D397" s="100" t="n"/>
      <c r="E397" s="100" t="n"/>
      <c r="F397" s="100" t="n"/>
      <c r="H397" s="100" t="n"/>
    </row>
    <row r="398" ht="15.75" customHeight="1" s="101">
      <c r="A398" s="100" t="n"/>
      <c r="B398" s="81" t="n"/>
      <c r="D398" s="100" t="n"/>
      <c r="E398" s="100" t="n"/>
      <c r="F398" s="100" t="n"/>
      <c r="H398" s="100" t="n"/>
    </row>
    <row r="399" ht="15.75" customHeight="1" s="101">
      <c r="A399" s="100" t="n"/>
      <c r="B399" s="81" t="n"/>
      <c r="D399" s="100" t="n"/>
      <c r="E399" s="100" t="n"/>
      <c r="F399" s="100" t="n"/>
      <c r="H399" s="100" t="n"/>
    </row>
    <row r="400" ht="15.75" customHeight="1" s="101">
      <c r="A400" s="100" t="n"/>
      <c r="B400" s="81" t="n"/>
      <c r="D400" s="100" t="n"/>
      <c r="E400" s="100" t="n"/>
      <c r="F400" s="100" t="n"/>
      <c r="H400" s="100" t="n"/>
    </row>
    <row r="401" ht="15.75" customHeight="1" s="101">
      <c r="A401" s="100" t="n"/>
      <c r="B401" s="81" t="n"/>
      <c r="D401" s="100" t="n"/>
      <c r="E401" s="100" t="n"/>
      <c r="F401" s="100" t="n"/>
      <c r="H401" s="100" t="n"/>
    </row>
    <row r="402" ht="15.75" customHeight="1" s="101">
      <c r="A402" s="100" t="n"/>
      <c r="B402" s="81" t="n"/>
      <c r="D402" s="100" t="n"/>
      <c r="E402" s="100" t="n"/>
      <c r="F402" s="100" t="n"/>
      <c r="H402" s="100" t="n"/>
    </row>
    <row r="403" ht="15.75" customHeight="1" s="101">
      <c r="A403" s="100" t="n"/>
      <c r="B403" s="81" t="n"/>
      <c r="D403" s="100" t="n"/>
      <c r="E403" s="100" t="n"/>
      <c r="F403" s="100" t="n"/>
      <c r="H403" s="100" t="n"/>
    </row>
    <row r="404" ht="15.75" customHeight="1" s="101">
      <c r="A404" s="100" t="n"/>
      <c r="B404" s="81" t="n"/>
      <c r="D404" s="100" t="n"/>
      <c r="E404" s="100" t="n"/>
      <c r="F404" s="100" t="n"/>
      <c r="H404" s="100" t="n"/>
    </row>
    <row r="405" ht="15.75" customHeight="1" s="101">
      <c r="A405" s="100" t="n"/>
      <c r="B405" s="81" t="n"/>
      <c r="D405" s="100" t="n"/>
      <c r="E405" s="100" t="n"/>
      <c r="F405" s="100" t="n"/>
      <c r="H405" s="100" t="n"/>
    </row>
    <row r="406" ht="15.75" customHeight="1" s="101">
      <c r="A406" s="100" t="n"/>
      <c r="B406" s="81" t="n"/>
      <c r="D406" s="100" t="n"/>
      <c r="E406" s="100" t="n"/>
      <c r="F406" s="100" t="n"/>
      <c r="H406" s="100" t="n"/>
    </row>
    <row r="407" ht="15.75" customHeight="1" s="101">
      <c r="A407" s="100" t="n"/>
      <c r="B407" s="81" t="n"/>
      <c r="D407" s="100" t="n"/>
      <c r="E407" s="100" t="n"/>
      <c r="F407" s="100" t="n"/>
      <c r="H407" s="100" t="n"/>
    </row>
    <row r="408" ht="15.75" customHeight="1" s="101">
      <c r="A408" s="100" t="n"/>
      <c r="B408" s="81" t="n"/>
      <c r="D408" s="100" t="n"/>
      <c r="E408" s="100" t="n"/>
      <c r="F408" s="100" t="n"/>
      <c r="H408" s="100" t="n"/>
    </row>
    <row r="409" ht="15.75" customHeight="1" s="101">
      <c r="A409" s="100" t="n"/>
      <c r="B409" s="81" t="n"/>
      <c r="D409" s="100" t="n"/>
      <c r="E409" s="100" t="n"/>
      <c r="F409" s="100" t="n"/>
      <c r="H409" s="100" t="n"/>
    </row>
    <row r="410" ht="15.75" customHeight="1" s="101">
      <c r="A410" s="100" t="n"/>
      <c r="B410" s="81" t="n"/>
      <c r="D410" s="100" t="n"/>
      <c r="E410" s="100" t="n"/>
      <c r="F410" s="100" t="n"/>
      <c r="H410" s="100" t="n"/>
    </row>
    <row r="411" ht="15.75" customHeight="1" s="101">
      <c r="A411" s="100" t="n"/>
      <c r="B411" s="81" t="n"/>
      <c r="D411" s="100" t="n"/>
      <c r="E411" s="100" t="n"/>
      <c r="F411" s="100" t="n"/>
      <c r="H411" s="100" t="n"/>
    </row>
    <row r="412" ht="15.75" customHeight="1" s="101">
      <c r="A412" s="100" t="n"/>
      <c r="B412" s="81" t="n"/>
      <c r="D412" s="100" t="n"/>
      <c r="E412" s="100" t="n"/>
      <c r="F412" s="100" t="n"/>
      <c r="H412" s="100" t="n"/>
    </row>
    <row r="413" ht="15.75" customHeight="1" s="101">
      <c r="A413" s="100" t="n"/>
      <c r="B413" s="81" t="n"/>
      <c r="D413" s="100" t="n"/>
      <c r="E413" s="100" t="n"/>
      <c r="F413" s="100" t="n"/>
      <c r="H413" s="100" t="n"/>
    </row>
    <row r="414" ht="15.75" customHeight="1" s="101">
      <c r="A414" s="100" t="n"/>
      <c r="B414" s="81" t="n"/>
      <c r="D414" s="100" t="n"/>
      <c r="E414" s="100" t="n"/>
      <c r="F414" s="100" t="n"/>
      <c r="H414" s="100" t="n"/>
    </row>
    <row r="415" ht="15.75" customHeight="1" s="101">
      <c r="A415" s="100" t="n"/>
      <c r="B415" s="81" t="n"/>
      <c r="D415" s="100" t="n"/>
      <c r="E415" s="100" t="n"/>
      <c r="F415" s="100" t="n"/>
      <c r="H415" s="100" t="n"/>
    </row>
    <row r="416" ht="15.75" customHeight="1" s="101">
      <c r="A416" s="100" t="n"/>
      <c r="B416" s="81" t="n"/>
      <c r="D416" s="100" t="n"/>
      <c r="E416" s="100" t="n"/>
      <c r="F416" s="100" t="n"/>
      <c r="H416" s="100" t="n"/>
    </row>
    <row r="417" ht="15.75" customHeight="1" s="101">
      <c r="A417" s="100" t="n"/>
      <c r="B417" s="81" t="n"/>
      <c r="D417" s="100" t="n"/>
      <c r="E417" s="100" t="n"/>
      <c r="F417" s="100" t="n"/>
      <c r="H417" s="100" t="n"/>
    </row>
    <row r="418" ht="15.75" customHeight="1" s="101">
      <c r="A418" s="100" t="n"/>
      <c r="B418" s="81" t="n"/>
      <c r="D418" s="100" t="n"/>
      <c r="E418" s="100" t="n"/>
      <c r="F418" s="100" t="n"/>
      <c r="H418" s="100" t="n"/>
    </row>
    <row r="419" ht="15.75" customHeight="1" s="101">
      <c r="A419" s="100" t="n"/>
      <c r="B419" s="81" t="n"/>
      <c r="D419" s="100" t="n"/>
      <c r="E419" s="100" t="n"/>
      <c r="F419" s="100" t="n"/>
      <c r="H419" s="100" t="n"/>
    </row>
    <row r="420" ht="15.75" customHeight="1" s="101">
      <c r="A420" s="100" t="n"/>
      <c r="B420" s="81" t="n"/>
      <c r="D420" s="100" t="n"/>
      <c r="E420" s="100" t="n"/>
      <c r="F420" s="100" t="n"/>
      <c r="H420" s="100" t="n"/>
    </row>
    <row r="421" ht="15.75" customHeight="1" s="101">
      <c r="A421" s="100" t="n"/>
      <c r="B421" s="81" t="n"/>
      <c r="D421" s="100" t="n"/>
      <c r="E421" s="100" t="n"/>
      <c r="F421" s="100" t="n"/>
      <c r="H421" s="100" t="n"/>
    </row>
    <row r="422" ht="15.75" customHeight="1" s="101">
      <c r="A422" s="100" t="n"/>
      <c r="B422" s="81" t="n"/>
      <c r="D422" s="100" t="n"/>
      <c r="E422" s="100" t="n"/>
      <c r="F422" s="100" t="n"/>
      <c r="H422" s="100" t="n"/>
    </row>
    <row r="423" ht="15.75" customHeight="1" s="101">
      <c r="A423" s="100" t="n"/>
      <c r="B423" s="81" t="n"/>
      <c r="D423" s="100" t="n"/>
      <c r="E423" s="100" t="n"/>
      <c r="F423" s="100" t="n"/>
      <c r="H423" s="100" t="n"/>
    </row>
    <row r="424" ht="15.75" customHeight="1" s="101">
      <c r="A424" s="100" t="n"/>
      <c r="B424" s="81" t="n"/>
      <c r="D424" s="100" t="n"/>
      <c r="E424" s="100" t="n"/>
      <c r="F424" s="100" t="n"/>
      <c r="H424" s="100" t="n"/>
    </row>
    <row r="425" ht="15.75" customHeight="1" s="101">
      <c r="A425" s="100" t="n"/>
      <c r="B425" s="81" t="n"/>
      <c r="D425" s="100" t="n"/>
      <c r="E425" s="100" t="n"/>
      <c r="F425" s="100" t="n"/>
      <c r="H425" s="100" t="n"/>
    </row>
    <row r="426" ht="15.75" customHeight="1" s="101">
      <c r="A426" s="100" t="n"/>
      <c r="B426" s="81" t="n"/>
      <c r="D426" s="100" t="n"/>
      <c r="E426" s="100" t="n"/>
      <c r="F426" s="100" t="n"/>
      <c r="H426" s="100" t="n"/>
    </row>
    <row r="427" ht="15.75" customHeight="1" s="101">
      <c r="A427" s="100" t="n"/>
      <c r="B427" s="81" t="n"/>
      <c r="D427" s="100" t="n"/>
      <c r="E427" s="100" t="n"/>
      <c r="F427" s="100" t="n"/>
      <c r="H427" s="100" t="n"/>
    </row>
    <row r="428" ht="15.75" customHeight="1" s="101">
      <c r="A428" s="100" t="n"/>
      <c r="B428" s="81" t="n"/>
      <c r="D428" s="100" t="n"/>
      <c r="E428" s="100" t="n"/>
      <c r="F428" s="100" t="n"/>
      <c r="H428" s="100" t="n"/>
    </row>
    <row r="429" ht="15.75" customHeight="1" s="101">
      <c r="A429" s="100" t="n"/>
      <c r="B429" s="81" t="n"/>
      <c r="D429" s="100" t="n"/>
      <c r="E429" s="100" t="n"/>
      <c r="F429" s="100" t="n"/>
      <c r="H429" s="100" t="n"/>
    </row>
    <row r="430" ht="15.75" customHeight="1" s="101">
      <c r="A430" s="100" t="n"/>
      <c r="B430" s="81" t="n"/>
      <c r="D430" s="100" t="n"/>
      <c r="E430" s="100" t="n"/>
      <c r="F430" s="100" t="n"/>
      <c r="H430" s="100" t="n"/>
    </row>
    <row r="431" ht="15.75" customHeight="1" s="101">
      <c r="A431" s="100" t="n"/>
      <c r="B431" s="81" t="n"/>
      <c r="D431" s="100" t="n"/>
      <c r="E431" s="100" t="n"/>
      <c r="F431" s="100" t="n"/>
      <c r="H431" s="100" t="n"/>
    </row>
    <row r="432" ht="15.75" customHeight="1" s="101">
      <c r="A432" s="100" t="n"/>
      <c r="B432" s="81" t="n"/>
      <c r="D432" s="100" t="n"/>
      <c r="E432" s="100" t="n"/>
      <c r="F432" s="100" t="n"/>
      <c r="H432" s="100" t="n"/>
    </row>
    <row r="433" ht="15.75" customHeight="1" s="101">
      <c r="A433" s="100" t="n"/>
      <c r="B433" s="81" t="n"/>
      <c r="D433" s="100" t="n"/>
      <c r="E433" s="100" t="n"/>
      <c r="F433" s="100" t="n"/>
      <c r="H433" s="100" t="n"/>
    </row>
    <row r="434" ht="15.75" customHeight="1" s="101">
      <c r="A434" s="100" t="n"/>
      <c r="B434" s="81" t="n"/>
      <c r="D434" s="100" t="n"/>
      <c r="E434" s="100" t="n"/>
      <c r="F434" s="100" t="n"/>
      <c r="H434" s="100" t="n"/>
    </row>
    <row r="435" ht="15.75" customHeight="1" s="101">
      <c r="A435" s="100" t="n"/>
      <c r="B435" s="81" t="n"/>
      <c r="D435" s="100" t="n"/>
      <c r="E435" s="100" t="n"/>
      <c r="F435" s="100" t="n"/>
      <c r="H435" s="100" t="n"/>
    </row>
    <row r="436" ht="15.75" customHeight="1" s="101">
      <c r="A436" s="100" t="n"/>
      <c r="B436" s="81" t="n"/>
      <c r="D436" s="100" t="n"/>
      <c r="E436" s="100" t="n"/>
      <c r="F436" s="100" t="n"/>
      <c r="H436" s="100" t="n"/>
    </row>
    <row r="437" ht="15.75" customHeight="1" s="101">
      <c r="A437" s="100" t="n"/>
      <c r="B437" s="81" t="n"/>
      <c r="D437" s="100" t="n"/>
      <c r="E437" s="100" t="n"/>
      <c r="F437" s="100" t="n"/>
      <c r="H437" s="100" t="n"/>
    </row>
    <row r="438" ht="15.75" customHeight="1" s="101">
      <c r="A438" s="100" t="n"/>
      <c r="B438" s="81" t="n"/>
      <c r="D438" s="100" t="n"/>
      <c r="E438" s="100" t="n"/>
      <c r="F438" s="100" t="n"/>
      <c r="H438" s="100" t="n"/>
    </row>
    <row r="439" ht="15.75" customHeight="1" s="101">
      <c r="A439" s="100" t="n"/>
      <c r="B439" s="81" t="n"/>
      <c r="D439" s="100" t="n"/>
      <c r="E439" s="100" t="n"/>
      <c r="F439" s="100" t="n"/>
      <c r="H439" s="100" t="n"/>
    </row>
    <row r="440" ht="15.75" customHeight="1" s="101">
      <c r="A440" s="100" t="n"/>
      <c r="B440" s="81" t="n"/>
      <c r="D440" s="100" t="n"/>
      <c r="E440" s="100" t="n"/>
      <c r="F440" s="100" t="n"/>
      <c r="H440" s="100" t="n"/>
    </row>
    <row r="441" ht="15.75" customHeight="1" s="101">
      <c r="A441" s="100" t="n"/>
      <c r="B441" s="81" t="n"/>
      <c r="D441" s="100" t="n"/>
      <c r="E441" s="100" t="n"/>
      <c r="F441" s="100" t="n"/>
      <c r="H441" s="100" t="n"/>
    </row>
    <row r="442" ht="15.75" customHeight="1" s="101">
      <c r="A442" s="100" t="n"/>
      <c r="B442" s="81" t="n"/>
      <c r="D442" s="100" t="n"/>
      <c r="E442" s="100" t="n"/>
      <c r="F442" s="100" t="n"/>
      <c r="H442" s="100" t="n"/>
    </row>
    <row r="443" ht="15.75" customHeight="1" s="101">
      <c r="A443" s="100" t="n"/>
      <c r="B443" s="81" t="n"/>
      <c r="D443" s="100" t="n"/>
      <c r="E443" s="100" t="n"/>
      <c r="F443" s="100" t="n"/>
      <c r="H443" s="100" t="n"/>
    </row>
    <row r="444" ht="15.75" customHeight="1" s="101">
      <c r="A444" s="100" t="n"/>
      <c r="B444" s="81" t="n"/>
      <c r="D444" s="100" t="n"/>
      <c r="E444" s="100" t="n"/>
      <c r="F444" s="100" t="n"/>
      <c r="H444" s="100" t="n"/>
    </row>
    <row r="445" ht="15.75" customHeight="1" s="101">
      <c r="A445" s="100" t="n"/>
      <c r="B445" s="81" t="n"/>
      <c r="D445" s="100" t="n"/>
      <c r="E445" s="100" t="n"/>
      <c r="F445" s="100" t="n"/>
      <c r="H445" s="100" t="n"/>
    </row>
    <row r="446" ht="15.75" customHeight="1" s="101">
      <c r="A446" s="100" t="n"/>
      <c r="B446" s="81" t="n"/>
      <c r="D446" s="100" t="n"/>
      <c r="E446" s="100" t="n"/>
      <c r="F446" s="100" t="n"/>
      <c r="H446" s="100" t="n"/>
    </row>
    <row r="447" ht="15.75" customHeight="1" s="101">
      <c r="A447" s="100" t="n"/>
      <c r="B447" s="81" t="n"/>
      <c r="D447" s="100" t="n"/>
      <c r="E447" s="100" t="n"/>
      <c r="F447" s="100" t="n"/>
      <c r="H447" s="100" t="n"/>
    </row>
    <row r="448" ht="15.75" customHeight="1" s="101">
      <c r="A448" s="100" t="n"/>
      <c r="B448" s="81" t="n"/>
      <c r="D448" s="100" t="n"/>
      <c r="E448" s="100" t="n"/>
      <c r="F448" s="100" t="n"/>
      <c r="H448" s="100" t="n"/>
    </row>
    <row r="449" ht="15.75" customHeight="1" s="101">
      <c r="A449" s="100" t="n"/>
      <c r="B449" s="81" t="n"/>
      <c r="D449" s="100" t="n"/>
      <c r="E449" s="100" t="n"/>
      <c r="F449" s="100" t="n"/>
      <c r="H449" s="100" t="n"/>
    </row>
    <row r="450" ht="15.75" customHeight="1" s="101">
      <c r="A450" s="100" t="n"/>
      <c r="B450" s="81" t="n"/>
      <c r="D450" s="100" t="n"/>
      <c r="E450" s="100" t="n"/>
      <c r="F450" s="100" t="n"/>
      <c r="H450" s="100" t="n"/>
    </row>
    <row r="451" ht="15.75" customHeight="1" s="101">
      <c r="A451" s="100" t="n"/>
      <c r="B451" s="81" t="n"/>
      <c r="D451" s="100" t="n"/>
      <c r="E451" s="100" t="n"/>
      <c r="F451" s="100" t="n"/>
      <c r="H451" s="100" t="n"/>
    </row>
    <row r="452" ht="15.75" customHeight="1" s="101">
      <c r="A452" s="100" t="n"/>
      <c r="B452" s="81" t="n"/>
      <c r="D452" s="100" t="n"/>
      <c r="E452" s="100" t="n"/>
      <c r="F452" s="100" t="n"/>
      <c r="H452" s="100" t="n"/>
    </row>
    <row r="453" ht="15.75" customHeight="1" s="101">
      <c r="A453" s="100" t="n"/>
      <c r="B453" s="81" t="n"/>
      <c r="D453" s="100" t="n"/>
      <c r="E453" s="100" t="n"/>
      <c r="F453" s="100" t="n"/>
      <c r="H453" s="100" t="n"/>
    </row>
    <row r="454" ht="15.75" customHeight="1" s="101">
      <c r="A454" s="100" t="n"/>
      <c r="B454" s="81" t="n"/>
      <c r="D454" s="100" t="n"/>
      <c r="E454" s="100" t="n"/>
      <c r="F454" s="100" t="n"/>
      <c r="H454" s="100" t="n"/>
    </row>
    <row r="455" ht="15.75" customHeight="1" s="101">
      <c r="A455" s="100" t="n"/>
      <c r="B455" s="81" t="n"/>
      <c r="D455" s="100" t="n"/>
      <c r="E455" s="100" t="n"/>
      <c r="F455" s="100" t="n"/>
      <c r="H455" s="100" t="n"/>
    </row>
    <row r="456" ht="15.75" customHeight="1" s="101">
      <c r="A456" s="100" t="n"/>
      <c r="B456" s="81" t="n"/>
      <c r="D456" s="100" t="n"/>
      <c r="E456" s="100" t="n"/>
      <c r="F456" s="100" t="n"/>
      <c r="H456" s="100" t="n"/>
    </row>
    <row r="457" ht="15.75" customHeight="1" s="101">
      <c r="A457" s="100" t="n"/>
      <c r="B457" s="81" t="n"/>
      <c r="D457" s="100" t="n"/>
      <c r="E457" s="100" t="n"/>
      <c r="F457" s="100" t="n"/>
      <c r="H457" s="100" t="n"/>
    </row>
    <row r="458" ht="15.75" customHeight="1" s="101">
      <c r="A458" s="100" t="n"/>
      <c r="B458" s="81" t="n"/>
      <c r="D458" s="100" t="n"/>
      <c r="E458" s="100" t="n"/>
      <c r="F458" s="100" t="n"/>
      <c r="H458" s="100" t="n"/>
    </row>
    <row r="459" ht="15.75" customHeight="1" s="101">
      <c r="A459" s="100" t="n"/>
      <c r="B459" s="81" t="n"/>
      <c r="D459" s="100" t="n"/>
      <c r="E459" s="100" t="n"/>
      <c r="F459" s="100" t="n"/>
      <c r="H459" s="100" t="n"/>
    </row>
    <row r="460" ht="15.75" customHeight="1" s="101">
      <c r="A460" s="100" t="n"/>
      <c r="B460" s="81" t="n"/>
      <c r="D460" s="100" t="n"/>
      <c r="E460" s="100" t="n"/>
      <c r="F460" s="100" t="n"/>
      <c r="H460" s="100" t="n"/>
    </row>
    <row r="461" ht="15.75" customHeight="1" s="101">
      <c r="A461" s="100" t="n"/>
      <c r="B461" s="81" t="n"/>
      <c r="D461" s="100" t="n"/>
      <c r="E461" s="100" t="n"/>
      <c r="F461" s="100" t="n"/>
      <c r="H461" s="100" t="n"/>
    </row>
    <row r="462" ht="15.75" customHeight="1" s="101">
      <c r="A462" s="100" t="n"/>
      <c r="B462" s="81" t="n"/>
      <c r="D462" s="100" t="n"/>
      <c r="E462" s="100" t="n"/>
      <c r="F462" s="100" t="n"/>
      <c r="H462" s="100" t="n"/>
    </row>
    <row r="463" ht="15.75" customHeight="1" s="101">
      <c r="A463" s="100" t="n"/>
      <c r="B463" s="81" t="n"/>
      <c r="D463" s="100" t="n"/>
      <c r="E463" s="100" t="n"/>
      <c r="F463" s="100" t="n"/>
      <c r="H463" s="100" t="n"/>
    </row>
    <row r="464" ht="15.75" customHeight="1" s="101">
      <c r="A464" s="100" t="n"/>
      <c r="B464" s="81" t="n"/>
      <c r="D464" s="100" t="n"/>
      <c r="E464" s="100" t="n"/>
      <c r="F464" s="100" t="n"/>
      <c r="H464" s="100" t="n"/>
    </row>
    <row r="465" ht="15.75" customHeight="1" s="101">
      <c r="A465" s="100" t="n"/>
      <c r="B465" s="81" t="n"/>
      <c r="D465" s="100" t="n"/>
      <c r="E465" s="100" t="n"/>
      <c r="F465" s="100" t="n"/>
      <c r="H465" s="100" t="n"/>
    </row>
    <row r="466" ht="15.75" customHeight="1" s="101">
      <c r="A466" s="100" t="n"/>
      <c r="B466" s="81" t="n"/>
      <c r="D466" s="100" t="n"/>
      <c r="E466" s="100" t="n"/>
      <c r="F466" s="100" t="n"/>
      <c r="H466" s="100" t="n"/>
    </row>
    <row r="467" ht="15.75" customHeight="1" s="101">
      <c r="A467" s="100" t="n"/>
      <c r="B467" s="81" t="n"/>
      <c r="D467" s="100" t="n"/>
      <c r="E467" s="100" t="n"/>
      <c r="F467" s="100" t="n"/>
      <c r="H467" s="100" t="n"/>
    </row>
    <row r="468" ht="15.75" customHeight="1" s="101">
      <c r="A468" s="100" t="n"/>
      <c r="B468" s="81" t="n"/>
      <c r="D468" s="100" t="n"/>
      <c r="E468" s="100" t="n"/>
      <c r="F468" s="100" t="n"/>
      <c r="H468" s="100" t="n"/>
    </row>
    <row r="469" ht="15.75" customHeight="1" s="101">
      <c r="A469" s="100" t="n"/>
      <c r="B469" s="81" t="n"/>
      <c r="D469" s="100" t="n"/>
      <c r="E469" s="100" t="n"/>
      <c r="F469" s="100" t="n"/>
      <c r="H469" s="100" t="n"/>
    </row>
    <row r="470" ht="15.75" customHeight="1" s="101">
      <c r="A470" s="100" t="n"/>
      <c r="B470" s="81" t="n"/>
      <c r="D470" s="100" t="n"/>
      <c r="E470" s="100" t="n"/>
      <c r="F470" s="100" t="n"/>
      <c r="H470" s="100" t="n"/>
    </row>
    <row r="471" ht="15.75" customHeight="1" s="101">
      <c r="A471" s="100" t="n"/>
      <c r="B471" s="81" t="n"/>
      <c r="D471" s="100" t="n"/>
      <c r="E471" s="100" t="n"/>
      <c r="F471" s="100" t="n"/>
      <c r="H471" s="100" t="n"/>
    </row>
    <row r="472" ht="15.75" customHeight="1" s="101">
      <c r="A472" s="100" t="n"/>
      <c r="B472" s="81" t="n"/>
      <c r="D472" s="100" t="n"/>
      <c r="E472" s="100" t="n"/>
      <c r="F472" s="100" t="n"/>
      <c r="H472" s="100" t="n"/>
    </row>
    <row r="473" ht="15.75" customHeight="1" s="101">
      <c r="A473" s="100" t="n"/>
      <c r="B473" s="81" t="n"/>
      <c r="D473" s="100" t="n"/>
      <c r="E473" s="100" t="n"/>
      <c r="F473" s="100" t="n"/>
      <c r="H473" s="100" t="n"/>
    </row>
    <row r="474" ht="15.75" customHeight="1" s="101">
      <c r="A474" s="100" t="n"/>
      <c r="B474" s="81" t="n"/>
      <c r="D474" s="100" t="n"/>
      <c r="E474" s="100" t="n"/>
      <c r="F474" s="100" t="n"/>
      <c r="H474" s="100" t="n"/>
    </row>
    <row r="475" ht="15.75" customHeight="1" s="101">
      <c r="A475" s="100" t="n"/>
      <c r="B475" s="81" t="n"/>
      <c r="D475" s="100" t="n"/>
      <c r="E475" s="100" t="n"/>
      <c r="F475" s="100" t="n"/>
      <c r="H475" s="100" t="n"/>
    </row>
    <row r="476" ht="15.75" customHeight="1" s="101">
      <c r="A476" s="100" t="n"/>
      <c r="B476" s="81" t="n"/>
      <c r="D476" s="100" t="n"/>
      <c r="E476" s="100" t="n"/>
      <c r="F476" s="100" t="n"/>
      <c r="H476" s="100" t="n"/>
    </row>
    <row r="477" ht="15.75" customHeight="1" s="101">
      <c r="A477" s="100" t="n"/>
      <c r="B477" s="81" t="n"/>
      <c r="D477" s="100" t="n"/>
      <c r="E477" s="100" t="n"/>
      <c r="F477" s="100" t="n"/>
      <c r="H477" s="100" t="n"/>
    </row>
    <row r="478" ht="15.75" customHeight="1" s="101">
      <c r="A478" s="100" t="n"/>
      <c r="B478" s="81" t="n"/>
      <c r="D478" s="100" t="n"/>
      <c r="E478" s="100" t="n"/>
      <c r="F478" s="100" t="n"/>
      <c r="H478" s="100" t="n"/>
    </row>
    <row r="479" ht="15.75" customHeight="1" s="101">
      <c r="A479" s="100" t="n"/>
      <c r="B479" s="81" t="n"/>
      <c r="D479" s="100" t="n"/>
      <c r="E479" s="100" t="n"/>
      <c r="F479" s="100" t="n"/>
      <c r="H479" s="100" t="n"/>
    </row>
    <row r="480" ht="15.75" customHeight="1" s="101">
      <c r="A480" s="100" t="n"/>
      <c r="B480" s="81" t="n"/>
      <c r="D480" s="100" t="n"/>
      <c r="E480" s="100" t="n"/>
      <c r="F480" s="100" t="n"/>
      <c r="H480" s="100" t="n"/>
    </row>
    <row r="481" ht="15.75" customHeight="1" s="101">
      <c r="A481" s="100" t="n"/>
      <c r="B481" s="81" t="n"/>
      <c r="D481" s="100" t="n"/>
      <c r="E481" s="100" t="n"/>
      <c r="F481" s="100" t="n"/>
      <c r="H481" s="100" t="n"/>
    </row>
    <row r="482" ht="15.75" customHeight="1" s="101">
      <c r="A482" s="100" t="n"/>
      <c r="B482" s="81" t="n"/>
      <c r="D482" s="100" t="n"/>
      <c r="E482" s="100" t="n"/>
      <c r="F482" s="100" t="n"/>
      <c r="H482" s="100" t="n"/>
    </row>
    <row r="483" ht="15.75" customHeight="1" s="101">
      <c r="A483" s="100" t="n"/>
      <c r="B483" s="81" t="n"/>
      <c r="D483" s="100" t="n"/>
      <c r="E483" s="100" t="n"/>
      <c r="F483" s="100" t="n"/>
      <c r="H483" s="100" t="n"/>
    </row>
    <row r="484" ht="15.75" customHeight="1" s="101">
      <c r="A484" s="100" t="n"/>
      <c r="B484" s="81" t="n"/>
      <c r="D484" s="100" t="n"/>
      <c r="E484" s="100" t="n"/>
      <c r="F484" s="100" t="n"/>
      <c r="H484" s="100" t="n"/>
    </row>
    <row r="485" ht="15.75" customHeight="1" s="101">
      <c r="A485" s="100" t="n"/>
      <c r="B485" s="81" t="n"/>
      <c r="D485" s="100" t="n"/>
      <c r="E485" s="100" t="n"/>
      <c r="F485" s="100" t="n"/>
      <c r="H485" s="100" t="n"/>
    </row>
    <row r="486" ht="15.75" customHeight="1" s="101">
      <c r="A486" s="100" t="n"/>
      <c r="B486" s="81" t="n"/>
      <c r="D486" s="100" t="n"/>
      <c r="E486" s="100" t="n"/>
      <c r="F486" s="100" t="n"/>
      <c r="H486" s="100" t="n"/>
    </row>
    <row r="487" ht="15.75" customHeight="1" s="101">
      <c r="A487" s="100" t="n"/>
      <c r="B487" s="81" t="n"/>
      <c r="D487" s="100" t="n"/>
      <c r="E487" s="100" t="n"/>
      <c r="F487" s="100" t="n"/>
      <c r="H487" s="100" t="n"/>
    </row>
    <row r="488" ht="15.75" customHeight="1" s="101">
      <c r="B488" s="81" t="n"/>
    </row>
    <row r="489" ht="15.75" customHeight="1" s="101">
      <c r="B489" s="81" t="n"/>
    </row>
    <row r="490" ht="15.75" customHeight="1" s="101">
      <c r="B490" s="81" t="n"/>
    </row>
    <row r="491" ht="15.75" customHeight="1" s="101">
      <c r="B491" s="81" t="n"/>
    </row>
    <row r="492" ht="15.75" customHeight="1" s="101">
      <c r="B492" s="81" t="n"/>
    </row>
    <row r="493" ht="15.75" customHeight="1" s="101">
      <c r="B493" s="81" t="n"/>
    </row>
    <row r="494" ht="15.75" customHeight="1" s="101">
      <c r="B494" s="81" t="n"/>
    </row>
    <row r="495" ht="15.75" customHeight="1" s="101">
      <c r="B495" s="81" t="n"/>
    </row>
    <row r="496" ht="15.75" customHeight="1" s="101">
      <c r="B496" s="81" t="n"/>
    </row>
    <row r="497" ht="15.75" customHeight="1" s="101">
      <c r="B497" s="81" t="n"/>
    </row>
    <row r="498" ht="15.75" customHeight="1" s="101">
      <c r="B498" s="81" t="n"/>
    </row>
    <row r="499" ht="15.75" customHeight="1" s="101">
      <c r="B499" s="81" t="n"/>
    </row>
    <row r="500" ht="15.75" customHeight="1" s="101">
      <c r="B500" s="81" t="n"/>
    </row>
    <row r="501" ht="15.75" customHeight="1" s="101">
      <c r="B501" s="81" t="n"/>
    </row>
    <row r="502" ht="15.75" customHeight="1" s="101">
      <c r="B502" s="81" t="n"/>
    </row>
    <row r="503" ht="15.75" customHeight="1" s="101">
      <c r="B503" s="81" t="n"/>
    </row>
    <row r="504" ht="15.75" customHeight="1" s="101">
      <c r="B504" s="81" t="n"/>
    </row>
    <row r="505" ht="15.75" customHeight="1" s="101">
      <c r="B505" s="81" t="n"/>
    </row>
    <row r="506" ht="15.75" customHeight="1" s="101">
      <c r="B506" s="81" t="n"/>
    </row>
    <row r="507" ht="15.75" customHeight="1" s="101">
      <c r="B507" s="81" t="n"/>
    </row>
    <row r="508" ht="15.75" customHeight="1" s="101">
      <c r="B508" s="81" t="n"/>
    </row>
    <row r="509" ht="15.75" customHeight="1" s="101">
      <c r="B509" s="81" t="n"/>
    </row>
    <row r="510" ht="15.75" customHeight="1" s="101">
      <c r="B510" s="81" t="n"/>
    </row>
    <row r="511" ht="15.75" customHeight="1" s="101">
      <c r="B511" s="81" t="n"/>
    </row>
    <row r="512" ht="15.75" customHeight="1" s="101">
      <c r="B512" s="81" t="n"/>
    </row>
    <row r="513" ht="15.75" customHeight="1" s="101">
      <c r="B513" s="81" t="n"/>
    </row>
    <row r="514" ht="15.75" customHeight="1" s="101">
      <c r="B514" s="81" t="n"/>
    </row>
    <row r="515" ht="15.75" customHeight="1" s="101">
      <c r="B515" s="81" t="n"/>
    </row>
    <row r="516" ht="15.75" customHeight="1" s="101">
      <c r="B516" s="81" t="n"/>
    </row>
    <row r="517" ht="15.75" customHeight="1" s="101">
      <c r="B517" s="81" t="n"/>
    </row>
    <row r="518" ht="15.75" customHeight="1" s="101">
      <c r="B518" s="81" t="n"/>
    </row>
    <row r="519" ht="15.75" customHeight="1" s="101">
      <c r="B519" s="81" t="n"/>
    </row>
    <row r="520" ht="15.75" customHeight="1" s="101">
      <c r="B520" s="81" t="n"/>
    </row>
    <row r="521" ht="15.75" customHeight="1" s="101">
      <c r="B521" s="81" t="n"/>
    </row>
    <row r="522" ht="15.75" customHeight="1" s="101">
      <c r="B522" s="81" t="n"/>
    </row>
    <row r="523" ht="15.75" customHeight="1" s="101">
      <c r="B523" s="81" t="n"/>
    </row>
    <row r="524" ht="15.75" customHeight="1" s="101">
      <c r="B524" s="81" t="n"/>
    </row>
    <row r="525" ht="15.75" customHeight="1" s="101">
      <c r="B525" s="81" t="n"/>
    </row>
    <row r="526" ht="15.75" customHeight="1" s="101">
      <c r="B526" s="81" t="n"/>
    </row>
    <row r="527" ht="15.75" customHeight="1" s="101">
      <c r="B527" s="81" t="n"/>
    </row>
    <row r="528" ht="15.75" customHeight="1" s="101">
      <c r="B528" s="81" t="n"/>
    </row>
    <row r="529" ht="15.75" customHeight="1" s="101">
      <c r="B529" s="81" t="n"/>
    </row>
    <row r="530" ht="15.75" customHeight="1" s="101">
      <c r="B530" s="81" t="n"/>
    </row>
    <row r="531" ht="15.75" customHeight="1" s="101">
      <c r="B531" s="81" t="n"/>
    </row>
    <row r="532" ht="15.75" customHeight="1" s="101">
      <c r="B532" s="81" t="n"/>
    </row>
    <row r="533" ht="15.75" customHeight="1" s="101">
      <c r="B533" s="81" t="n"/>
    </row>
    <row r="534" ht="15.75" customHeight="1" s="101">
      <c r="B534" s="81" t="n"/>
    </row>
    <row r="535" ht="15.75" customHeight="1" s="101">
      <c r="B535" s="81" t="n"/>
    </row>
    <row r="536" ht="15.75" customHeight="1" s="101">
      <c r="B536" s="81" t="n"/>
    </row>
    <row r="537" ht="15.75" customHeight="1" s="101">
      <c r="B537" s="81" t="n"/>
    </row>
    <row r="538" ht="15.75" customHeight="1" s="101">
      <c r="B538" s="81" t="n"/>
    </row>
    <row r="539" ht="15.75" customHeight="1" s="101">
      <c r="B539" s="81" t="n"/>
    </row>
    <row r="540" ht="15.75" customHeight="1" s="101">
      <c r="B540" s="81" t="n"/>
    </row>
    <row r="541" ht="15.75" customHeight="1" s="101">
      <c r="B541" s="81" t="n"/>
    </row>
    <row r="542" ht="15.75" customHeight="1" s="101">
      <c r="B542" s="81" t="n"/>
    </row>
    <row r="543" ht="15.75" customHeight="1" s="101">
      <c r="B543" s="81" t="n"/>
    </row>
    <row r="544" ht="15.75" customHeight="1" s="101">
      <c r="B544" s="81" t="n"/>
    </row>
    <row r="545" ht="15.75" customHeight="1" s="101">
      <c r="B545" s="81" t="n"/>
    </row>
    <row r="546" ht="15.75" customHeight="1" s="101">
      <c r="B546" s="81" t="n"/>
    </row>
    <row r="547" ht="15.75" customHeight="1" s="101">
      <c r="B547" s="81" t="n"/>
    </row>
    <row r="548" ht="15.75" customHeight="1" s="101">
      <c r="B548" s="81" t="n"/>
    </row>
    <row r="549" ht="15.75" customHeight="1" s="101">
      <c r="B549" s="81" t="n"/>
    </row>
    <row r="550" ht="15.75" customHeight="1" s="101">
      <c r="B550" s="81" t="n"/>
    </row>
    <row r="551" ht="15.75" customHeight="1" s="101">
      <c r="B551" s="81" t="n"/>
    </row>
    <row r="552" ht="15.75" customHeight="1" s="101">
      <c r="B552" s="81" t="n"/>
    </row>
    <row r="553" ht="15.75" customHeight="1" s="101">
      <c r="B553" s="81" t="n"/>
    </row>
    <row r="554" ht="15.75" customHeight="1" s="101">
      <c r="B554" s="81" t="n"/>
    </row>
    <row r="555" ht="15.75" customHeight="1" s="101">
      <c r="B555" s="81" t="n"/>
    </row>
    <row r="556" ht="15.75" customHeight="1" s="101">
      <c r="B556" s="81" t="n"/>
    </row>
    <row r="557" ht="15.75" customHeight="1" s="101">
      <c r="B557" s="81" t="n"/>
    </row>
    <row r="558" ht="15.75" customHeight="1" s="101">
      <c r="B558" s="81" t="n"/>
    </row>
    <row r="559" ht="15.75" customHeight="1" s="101">
      <c r="B559" s="81" t="n"/>
    </row>
    <row r="560" ht="15.75" customHeight="1" s="101">
      <c r="B560" s="81" t="n"/>
    </row>
    <row r="561" ht="15.75" customHeight="1" s="101">
      <c r="B561" s="81" t="n"/>
    </row>
    <row r="562" ht="15.75" customHeight="1" s="101">
      <c r="B562" s="81" t="n"/>
    </row>
    <row r="563" ht="15.75" customHeight="1" s="101">
      <c r="B563" s="81" t="n"/>
    </row>
    <row r="564" ht="15.75" customHeight="1" s="101">
      <c r="B564" s="81" t="n"/>
    </row>
    <row r="565" ht="15.75" customHeight="1" s="101">
      <c r="B565" s="81" t="n"/>
    </row>
    <row r="566" ht="15.75" customHeight="1" s="101">
      <c r="B566" s="81" t="n"/>
    </row>
    <row r="567" ht="15.75" customHeight="1" s="101">
      <c r="B567" s="81" t="n"/>
    </row>
    <row r="568" ht="15.75" customHeight="1" s="101">
      <c r="B568" s="81" t="n"/>
    </row>
    <row r="569" ht="15.75" customHeight="1" s="101">
      <c r="B569" s="81" t="n"/>
    </row>
    <row r="570" ht="15.75" customHeight="1" s="101">
      <c r="B570" s="81" t="n"/>
    </row>
    <row r="571" ht="15.75" customHeight="1" s="101">
      <c r="B571" s="81" t="n"/>
    </row>
    <row r="572" ht="15.75" customHeight="1" s="101">
      <c r="B572" s="81" t="n"/>
    </row>
    <row r="573" ht="15.75" customHeight="1" s="101">
      <c r="B573" s="81" t="n"/>
    </row>
    <row r="574" ht="15.75" customHeight="1" s="101">
      <c r="B574" s="81" t="n"/>
    </row>
    <row r="575" ht="15.75" customHeight="1" s="101">
      <c r="B575" s="81" t="n"/>
    </row>
    <row r="576" ht="15.75" customHeight="1" s="101">
      <c r="B576" s="81" t="n"/>
    </row>
    <row r="577" ht="15.75" customHeight="1" s="101">
      <c r="B577" s="81" t="n"/>
    </row>
    <row r="578" ht="15.75" customHeight="1" s="101">
      <c r="B578" s="81" t="n"/>
    </row>
    <row r="579" ht="15.75" customHeight="1" s="101">
      <c r="B579" s="81" t="n"/>
    </row>
    <row r="580" ht="15.75" customHeight="1" s="101">
      <c r="B580" s="81" t="n"/>
    </row>
    <row r="581" ht="15.75" customHeight="1" s="101">
      <c r="B581" s="81" t="n"/>
    </row>
    <row r="582" ht="15.75" customHeight="1" s="101">
      <c r="B582" s="81" t="n"/>
    </row>
    <row r="583" ht="15.75" customHeight="1" s="101">
      <c r="B583" s="81" t="n"/>
    </row>
    <row r="584" ht="15.75" customHeight="1" s="101">
      <c r="B584" s="81" t="n"/>
    </row>
    <row r="585" ht="15.75" customHeight="1" s="101">
      <c r="B585" s="81" t="n"/>
    </row>
    <row r="586" ht="15.75" customHeight="1" s="101">
      <c r="B586" s="81" t="n"/>
    </row>
    <row r="587" ht="15.75" customHeight="1" s="101">
      <c r="B587" s="81" t="n"/>
    </row>
    <row r="588" ht="15.75" customHeight="1" s="101">
      <c r="B588" s="81" t="n"/>
    </row>
    <row r="589" ht="15.75" customHeight="1" s="101">
      <c r="B589" s="81" t="n"/>
    </row>
    <row r="590" ht="15.75" customHeight="1" s="101">
      <c r="B590" s="81" t="n"/>
    </row>
    <row r="591" ht="15.75" customHeight="1" s="101">
      <c r="B591" s="81" t="n"/>
    </row>
    <row r="592" ht="15.75" customHeight="1" s="101">
      <c r="B592" s="81" t="n"/>
    </row>
    <row r="593" ht="15.75" customHeight="1" s="101">
      <c r="B593" s="81" t="n"/>
    </row>
    <row r="594" ht="15.75" customHeight="1" s="101">
      <c r="B594" s="81" t="n"/>
    </row>
    <row r="595" ht="15.75" customHeight="1" s="101">
      <c r="B595" s="81" t="n"/>
    </row>
    <row r="596" ht="15.75" customHeight="1" s="101">
      <c r="B596" s="81" t="n"/>
    </row>
    <row r="597" ht="15.75" customHeight="1" s="101">
      <c r="B597" s="81" t="n"/>
    </row>
    <row r="598" ht="15.75" customHeight="1" s="101">
      <c r="B598" s="81" t="n"/>
    </row>
    <row r="599" ht="15.75" customHeight="1" s="101">
      <c r="B599" s="81" t="n"/>
    </row>
    <row r="600" ht="15.75" customHeight="1" s="101">
      <c r="B600" s="81" t="n"/>
    </row>
    <row r="601" ht="15.75" customHeight="1" s="101">
      <c r="B601" s="81" t="n"/>
    </row>
    <row r="602" ht="15.75" customHeight="1" s="101">
      <c r="B602" s="81" t="n"/>
    </row>
    <row r="603" ht="15.75" customHeight="1" s="101">
      <c r="B603" s="81" t="n"/>
    </row>
    <row r="604" ht="15.75" customHeight="1" s="101">
      <c r="B604" s="81" t="n"/>
    </row>
    <row r="605" ht="15.75" customHeight="1" s="101">
      <c r="B605" s="81" t="n"/>
    </row>
    <row r="606" ht="15.75" customHeight="1" s="101">
      <c r="B606" s="81" t="n"/>
    </row>
    <row r="607" ht="15.75" customHeight="1" s="101">
      <c r="B607" s="81" t="n"/>
    </row>
    <row r="608" ht="15.75" customHeight="1" s="101">
      <c r="B608" s="81" t="n"/>
    </row>
    <row r="609" ht="15.75" customHeight="1" s="101">
      <c r="B609" s="81" t="n"/>
    </row>
    <row r="610" ht="15.75" customHeight="1" s="101">
      <c r="B610" s="81" t="n"/>
    </row>
    <row r="611" ht="15.75" customHeight="1" s="101">
      <c r="B611" s="81" t="n"/>
    </row>
    <row r="612" ht="15.75" customHeight="1" s="101">
      <c r="B612" s="81" t="n"/>
    </row>
    <row r="613" ht="15.75" customHeight="1" s="101">
      <c r="B613" s="81" t="n"/>
    </row>
    <row r="614" ht="15.75" customHeight="1" s="101">
      <c r="B614" s="81" t="n"/>
    </row>
    <row r="615" ht="15.75" customHeight="1" s="101">
      <c r="B615" s="81" t="n"/>
    </row>
    <row r="616" ht="15.75" customHeight="1" s="101">
      <c r="B616" s="81" t="n"/>
    </row>
    <row r="617" ht="15.75" customHeight="1" s="101">
      <c r="B617" s="81" t="n"/>
    </row>
    <row r="618" ht="15.75" customHeight="1" s="101">
      <c r="B618" s="81" t="n"/>
    </row>
    <row r="619" ht="15.75" customHeight="1" s="101">
      <c r="B619" s="81" t="n"/>
    </row>
    <row r="620" ht="15.75" customHeight="1" s="101">
      <c r="B620" s="81" t="n"/>
    </row>
    <row r="621" ht="15.75" customHeight="1" s="101">
      <c r="B621" s="81" t="n"/>
    </row>
    <row r="622" ht="15.75" customHeight="1" s="101">
      <c r="B622" s="81" t="n"/>
    </row>
    <row r="623" ht="15.75" customHeight="1" s="101">
      <c r="B623" s="81" t="n"/>
    </row>
    <row r="624" ht="15.75" customHeight="1" s="101">
      <c r="B624" s="81" t="n"/>
    </row>
    <row r="625" ht="15.75" customHeight="1" s="101">
      <c r="B625" s="81" t="n"/>
    </row>
    <row r="626" ht="15.75" customHeight="1" s="101">
      <c r="B626" s="81" t="n"/>
    </row>
    <row r="627" ht="15.75" customHeight="1" s="101">
      <c r="B627" s="81" t="n"/>
    </row>
    <row r="628" ht="15.75" customHeight="1" s="101">
      <c r="B628" s="81" t="n"/>
    </row>
    <row r="629" ht="15.75" customHeight="1" s="101">
      <c r="B629" s="81" t="n"/>
    </row>
    <row r="630" ht="15.75" customHeight="1" s="101">
      <c r="B630" s="81" t="n"/>
    </row>
    <row r="631" ht="15.75" customHeight="1" s="101">
      <c r="B631" s="81" t="n"/>
    </row>
    <row r="632" ht="15.75" customHeight="1" s="101">
      <c r="B632" s="81" t="n"/>
    </row>
    <row r="633" ht="15.75" customHeight="1" s="101">
      <c r="B633" s="81" t="n"/>
    </row>
    <row r="634" ht="15.75" customHeight="1" s="101">
      <c r="B634" s="81" t="n"/>
    </row>
    <row r="635" ht="15.75" customHeight="1" s="101">
      <c r="B635" s="81" t="n"/>
    </row>
    <row r="636" ht="15.75" customHeight="1" s="101">
      <c r="B636" s="81" t="n"/>
    </row>
    <row r="637" ht="15.75" customHeight="1" s="101">
      <c r="B637" s="81" t="n"/>
    </row>
    <row r="638" ht="15.75" customHeight="1" s="101">
      <c r="B638" s="81" t="n"/>
    </row>
    <row r="639" ht="15.75" customHeight="1" s="101">
      <c r="B639" s="81" t="n"/>
    </row>
    <row r="640" ht="15.75" customHeight="1" s="101">
      <c r="B640" s="81" t="n"/>
    </row>
    <row r="641" ht="15.75" customHeight="1" s="101">
      <c r="B641" s="81" t="n"/>
    </row>
    <row r="642" ht="15.75" customHeight="1" s="101">
      <c r="B642" s="81" t="n"/>
    </row>
    <row r="643" ht="15.75" customHeight="1" s="101">
      <c r="B643" s="81" t="n"/>
    </row>
    <row r="644" ht="15.75" customHeight="1" s="101">
      <c r="B644" s="81" t="n"/>
    </row>
    <row r="645" ht="15.75" customHeight="1" s="101">
      <c r="B645" s="81" t="n"/>
    </row>
    <row r="646" ht="15.75" customHeight="1" s="101">
      <c r="B646" s="81" t="n"/>
    </row>
    <row r="647" ht="15.75" customHeight="1" s="101">
      <c r="B647" s="81" t="n"/>
    </row>
    <row r="648" ht="15.75" customHeight="1" s="101">
      <c r="B648" s="81" t="n"/>
    </row>
    <row r="649" ht="15.75" customHeight="1" s="101">
      <c r="B649" s="81" t="n"/>
    </row>
    <row r="650" ht="15.75" customHeight="1" s="101">
      <c r="B650" s="81" t="n"/>
    </row>
    <row r="651" ht="15.75" customHeight="1" s="101">
      <c r="B651" s="81" t="n"/>
    </row>
    <row r="652" ht="15.75" customHeight="1" s="101">
      <c r="B652" s="81" t="n"/>
    </row>
    <row r="653" ht="15.75" customHeight="1" s="101">
      <c r="B653" s="81" t="n"/>
    </row>
    <row r="654" ht="15.75" customHeight="1" s="101">
      <c r="B654" s="81" t="n"/>
    </row>
    <row r="655" ht="15.75" customHeight="1" s="101">
      <c r="B655" s="81" t="n"/>
    </row>
    <row r="656" ht="15.75" customHeight="1" s="101">
      <c r="B656" s="81" t="n"/>
    </row>
    <row r="657" ht="15.75" customHeight="1" s="101">
      <c r="B657" s="81" t="n"/>
    </row>
    <row r="658" ht="15.75" customHeight="1" s="101">
      <c r="B658" s="81" t="n"/>
    </row>
    <row r="659" ht="15.75" customHeight="1" s="101">
      <c r="B659" s="81" t="n"/>
    </row>
    <row r="660" ht="15.75" customHeight="1" s="101">
      <c r="B660" s="81" t="n"/>
    </row>
    <row r="661" ht="15.75" customHeight="1" s="101">
      <c r="B661" s="81" t="n"/>
    </row>
    <row r="662" ht="15.75" customHeight="1" s="101">
      <c r="B662" s="81" t="n"/>
    </row>
    <row r="663" ht="15.75" customHeight="1" s="101">
      <c r="B663" s="81" t="n"/>
    </row>
    <row r="664" ht="15.75" customHeight="1" s="101">
      <c r="B664" s="81" t="n"/>
    </row>
    <row r="665" ht="15.75" customHeight="1" s="101">
      <c r="B665" s="81" t="n"/>
    </row>
    <row r="666" ht="15.75" customHeight="1" s="101">
      <c r="B666" s="81" t="n"/>
    </row>
    <row r="667" ht="15.75" customHeight="1" s="101">
      <c r="B667" s="81" t="n"/>
    </row>
    <row r="668" ht="15.75" customHeight="1" s="101">
      <c r="B668" s="81" t="n"/>
    </row>
    <row r="669" ht="15.75" customHeight="1" s="101">
      <c r="B669" s="81" t="n"/>
    </row>
    <row r="670" ht="15.75" customHeight="1" s="101">
      <c r="B670" s="81" t="n"/>
    </row>
    <row r="671" ht="15.75" customHeight="1" s="101">
      <c r="B671" s="81" t="n"/>
    </row>
    <row r="672" ht="15.75" customHeight="1" s="101">
      <c r="B672" s="81" t="n"/>
    </row>
    <row r="673" ht="15.75" customHeight="1" s="101">
      <c r="B673" s="81" t="n"/>
    </row>
    <row r="674" ht="15.75" customHeight="1" s="101">
      <c r="B674" s="81" t="n"/>
    </row>
    <row r="675" ht="15.75" customHeight="1" s="101">
      <c r="B675" s="81" t="n"/>
    </row>
    <row r="676" ht="15.75" customHeight="1" s="101">
      <c r="B676" s="81" t="n"/>
    </row>
    <row r="677" ht="15.75" customHeight="1" s="101">
      <c r="B677" s="81" t="n"/>
    </row>
    <row r="678" ht="15.75" customHeight="1" s="101">
      <c r="B678" s="81" t="n"/>
    </row>
    <row r="679" ht="15.75" customHeight="1" s="101">
      <c r="B679" s="81" t="n"/>
    </row>
    <row r="680" ht="15.75" customHeight="1" s="101">
      <c r="B680" s="81" t="n"/>
    </row>
    <row r="681" ht="15.75" customHeight="1" s="101">
      <c r="B681" s="81" t="n"/>
    </row>
    <row r="682" ht="15.75" customHeight="1" s="101">
      <c r="B682" s="81" t="n"/>
    </row>
    <row r="683" ht="15.75" customHeight="1" s="101">
      <c r="B683" s="81" t="n"/>
    </row>
    <row r="684" ht="15.75" customHeight="1" s="101">
      <c r="B684" s="81" t="n"/>
    </row>
    <row r="685" ht="15.75" customHeight="1" s="101">
      <c r="B685" s="81" t="n"/>
    </row>
    <row r="686" ht="15.75" customHeight="1" s="101">
      <c r="B686" s="81" t="n"/>
    </row>
    <row r="687" ht="15.75" customHeight="1" s="101">
      <c r="B687" s="81" t="n"/>
    </row>
    <row r="688" ht="15.75" customHeight="1" s="101">
      <c r="B688" s="81" t="n"/>
    </row>
    <row r="689" ht="15.75" customHeight="1" s="101">
      <c r="B689" s="81" t="n"/>
    </row>
    <row r="690" ht="15.75" customHeight="1" s="101">
      <c r="B690" s="81" t="n"/>
    </row>
    <row r="691" ht="15.75" customHeight="1" s="101">
      <c r="B691" s="81" t="n"/>
    </row>
    <row r="692" ht="15.75" customHeight="1" s="101">
      <c r="B692" s="81" t="n"/>
    </row>
    <row r="693" ht="15.75" customHeight="1" s="101">
      <c r="B693" s="81" t="n"/>
    </row>
    <row r="694" ht="15.75" customHeight="1" s="101">
      <c r="B694" s="81" t="n"/>
    </row>
    <row r="695" ht="15.75" customHeight="1" s="101">
      <c r="B695" s="81" t="n"/>
    </row>
    <row r="696" ht="15.75" customHeight="1" s="101">
      <c r="B696" s="81" t="n"/>
    </row>
    <row r="697" ht="15.75" customHeight="1" s="101">
      <c r="B697" s="81" t="n"/>
    </row>
    <row r="698" ht="15.75" customHeight="1" s="101">
      <c r="B698" s="81" t="n"/>
    </row>
    <row r="699" ht="15.75" customHeight="1" s="101">
      <c r="B699" s="81" t="n"/>
    </row>
    <row r="700" ht="15.75" customHeight="1" s="101">
      <c r="B700" s="81" t="n"/>
    </row>
    <row r="701" ht="15.75" customHeight="1" s="101">
      <c r="B701" s="81" t="n"/>
    </row>
    <row r="702" ht="15.75" customHeight="1" s="101">
      <c r="B702" s="81" t="n"/>
    </row>
    <row r="703" ht="15.75" customHeight="1" s="101">
      <c r="B703" s="81" t="n"/>
    </row>
    <row r="704" ht="15.75" customHeight="1" s="101">
      <c r="B704" s="81" t="n"/>
    </row>
    <row r="705" ht="15.75" customHeight="1" s="101">
      <c r="B705" s="81" t="n"/>
    </row>
    <row r="706" ht="15.75" customHeight="1" s="101">
      <c r="B706" s="81" t="n"/>
    </row>
    <row r="707" ht="15.75" customHeight="1" s="101">
      <c r="B707" s="81" t="n"/>
    </row>
    <row r="708" ht="15.75" customHeight="1" s="101">
      <c r="B708" s="81" t="n"/>
    </row>
    <row r="709" ht="15.75" customHeight="1" s="101">
      <c r="B709" s="81" t="n"/>
    </row>
    <row r="710" ht="15.75" customHeight="1" s="101">
      <c r="B710" s="81" t="n"/>
    </row>
    <row r="711" ht="15.75" customHeight="1" s="101">
      <c r="B711" s="81" t="n"/>
    </row>
    <row r="712" ht="15.75" customHeight="1" s="101">
      <c r="B712" s="81" t="n"/>
    </row>
    <row r="713" ht="15.75" customHeight="1" s="101">
      <c r="B713" s="81" t="n"/>
    </row>
    <row r="714" ht="15.75" customHeight="1" s="101">
      <c r="B714" s="81" t="n"/>
    </row>
    <row r="715" ht="15.75" customHeight="1" s="101">
      <c r="B715" s="81" t="n"/>
    </row>
    <row r="716" ht="15.75" customHeight="1" s="101">
      <c r="B716" s="81" t="n"/>
    </row>
    <row r="717" ht="15.75" customHeight="1" s="101">
      <c r="B717" s="81" t="n"/>
    </row>
    <row r="718" ht="15.75" customHeight="1" s="101">
      <c r="B718" s="81" t="n"/>
    </row>
    <row r="719" ht="15.75" customHeight="1" s="101">
      <c r="B719" s="81" t="n"/>
    </row>
    <row r="720" ht="15.75" customHeight="1" s="101">
      <c r="B720" s="81" t="n"/>
    </row>
    <row r="721" ht="15.75" customHeight="1" s="101">
      <c r="B721" s="81" t="n"/>
    </row>
    <row r="722" ht="15.75" customHeight="1" s="101">
      <c r="B722" s="81" t="n"/>
    </row>
    <row r="723" ht="15.75" customHeight="1" s="101">
      <c r="B723" s="81" t="n"/>
    </row>
    <row r="724" ht="15.75" customHeight="1" s="101">
      <c r="B724" s="81" t="n"/>
    </row>
    <row r="725" ht="15.75" customHeight="1" s="101">
      <c r="B725" s="81" t="n"/>
    </row>
    <row r="726" ht="15.75" customHeight="1" s="101">
      <c r="B726" s="81" t="n"/>
    </row>
    <row r="727" ht="15.75" customHeight="1" s="101">
      <c r="B727" s="81" t="n"/>
    </row>
    <row r="728" ht="15.75" customHeight="1" s="101">
      <c r="B728" s="81" t="n"/>
    </row>
    <row r="729" ht="15.75" customHeight="1" s="101">
      <c r="B729" s="81" t="n"/>
    </row>
    <row r="730" ht="15.75" customHeight="1" s="101">
      <c r="B730" s="81" t="n"/>
    </row>
    <row r="731" ht="15.75" customHeight="1" s="101">
      <c r="B731" s="81" t="n"/>
    </row>
    <row r="732" ht="15.75" customHeight="1" s="101">
      <c r="B732" s="81" t="n"/>
    </row>
    <row r="733" ht="15.75" customHeight="1" s="101">
      <c r="B733" s="81" t="n"/>
    </row>
    <row r="734" ht="15.75" customHeight="1" s="101">
      <c r="B734" s="81" t="n"/>
    </row>
    <row r="735" ht="15.75" customHeight="1" s="101">
      <c r="B735" s="81" t="n"/>
    </row>
    <row r="736" ht="15.75" customHeight="1" s="101">
      <c r="B736" s="81" t="n"/>
    </row>
    <row r="737" ht="15.75" customHeight="1" s="101">
      <c r="B737" s="81" t="n"/>
    </row>
    <row r="738" ht="15.75" customHeight="1" s="101">
      <c r="B738" s="81" t="n"/>
    </row>
    <row r="739" ht="15.75" customHeight="1" s="101">
      <c r="B739" s="81" t="n"/>
    </row>
    <row r="740" ht="15.75" customHeight="1" s="101">
      <c r="B740" s="81" t="n"/>
    </row>
    <row r="741" ht="15.75" customHeight="1" s="101">
      <c r="B741" s="81" t="n"/>
    </row>
    <row r="742" ht="15.75" customHeight="1" s="101">
      <c r="B742" s="81" t="n"/>
    </row>
    <row r="743" ht="15.75" customHeight="1" s="101">
      <c r="B743" s="81" t="n"/>
    </row>
    <row r="744" ht="15.75" customHeight="1" s="101">
      <c r="B744" s="81" t="n"/>
    </row>
    <row r="745" ht="15.75" customHeight="1" s="101">
      <c r="B745" s="81" t="n"/>
    </row>
    <row r="746" ht="15.75" customHeight="1" s="101">
      <c r="B746" s="81" t="n"/>
    </row>
    <row r="747" ht="15.75" customHeight="1" s="101">
      <c r="B747" s="81" t="n"/>
    </row>
    <row r="748" ht="15.75" customHeight="1" s="101">
      <c r="B748" s="81" t="n"/>
    </row>
    <row r="749" ht="15.75" customHeight="1" s="101">
      <c r="B749" s="81" t="n"/>
    </row>
    <row r="750" ht="15.75" customHeight="1" s="101">
      <c r="B750" s="81" t="n"/>
    </row>
    <row r="751" ht="15.75" customHeight="1" s="101">
      <c r="B751" s="81" t="n"/>
    </row>
    <row r="752" ht="15.75" customHeight="1" s="101">
      <c r="B752" s="81" t="n"/>
    </row>
    <row r="753" ht="15.75" customHeight="1" s="101">
      <c r="B753" s="81" t="n"/>
    </row>
    <row r="754" ht="15.75" customHeight="1" s="101">
      <c r="B754" s="81" t="n"/>
    </row>
    <row r="755" ht="15.75" customHeight="1" s="101">
      <c r="B755" s="81" t="n"/>
    </row>
    <row r="756" ht="15.75" customHeight="1" s="101">
      <c r="B756" s="81" t="n"/>
    </row>
    <row r="757" ht="15.75" customHeight="1" s="101">
      <c r="B757" s="81" t="n"/>
    </row>
    <row r="758" ht="15.75" customHeight="1" s="101">
      <c r="B758" s="81" t="n"/>
    </row>
    <row r="759" ht="15.75" customHeight="1" s="101">
      <c r="B759" s="81" t="n"/>
    </row>
    <row r="760" ht="15.75" customHeight="1" s="101">
      <c r="B760" s="81" t="n"/>
    </row>
    <row r="761" ht="15.75" customHeight="1" s="101">
      <c r="B761" s="81" t="n"/>
    </row>
    <row r="762" ht="15.75" customHeight="1" s="101">
      <c r="B762" s="81" t="n"/>
    </row>
    <row r="763" ht="15.75" customHeight="1" s="101">
      <c r="B763" s="81" t="n"/>
    </row>
    <row r="764" ht="15.75" customHeight="1" s="101">
      <c r="B764" s="81" t="n"/>
    </row>
    <row r="765" ht="15.75" customHeight="1" s="101">
      <c r="B765" s="81" t="n"/>
    </row>
    <row r="766" ht="15.75" customHeight="1" s="101">
      <c r="B766" s="81" t="n"/>
    </row>
    <row r="767" ht="15.75" customHeight="1" s="101">
      <c r="B767" s="81" t="n"/>
    </row>
    <row r="768" ht="15.75" customHeight="1" s="101">
      <c r="B768" s="81" t="n"/>
    </row>
    <row r="769" ht="15.75" customHeight="1" s="101">
      <c r="B769" s="81" t="n"/>
    </row>
    <row r="770" ht="15.75" customHeight="1" s="101">
      <c r="B770" s="81" t="n"/>
    </row>
    <row r="771" ht="15.75" customHeight="1" s="101">
      <c r="B771" s="81" t="n"/>
    </row>
    <row r="772" ht="15.75" customHeight="1" s="101">
      <c r="B772" s="81" t="n"/>
    </row>
    <row r="773" ht="15.75" customHeight="1" s="101">
      <c r="B773" s="81" t="n"/>
    </row>
    <row r="774" ht="15.75" customHeight="1" s="101">
      <c r="B774" s="81" t="n"/>
    </row>
    <row r="775" ht="15.75" customHeight="1" s="101">
      <c r="B775" s="81" t="n"/>
    </row>
    <row r="776" ht="15.75" customHeight="1" s="101">
      <c r="B776" s="81" t="n"/>
    </row>
    <row r="777" ht="15.75" customHeight="1" s="101">
      <c r="B777" s="81" t="n"/>
    </row>
    <row r="778" ht="15.75" customHeight="1" s="101">
      <c r="B778" s="81" t="n"/>
    </row>
    <row r="779" ht="15.75" customHeight="1" s="101">
      <c r="B779" s="81" t="n"/>
    </row>
    <row r="780" ht="15.75" customHeight="1" s="101">
      <c r="B780" s="81" t="n"/>
    </row>
    <row r="781" ht="15.75" customHeight="1" s="101">
      <c r="B781" s="81" t="n"/>
    </row>
    <row r="782" ht="15.75" customHeight="1" s="101">
      <c r="B782" s="81" t="n"/>
    </row>
    <row r="783" ht="15.75" customHeight="1" s="101">
      <c r="B783" s="81" t="n"/>
    </row>
    <row r="784" ht="15.75" customHeight="1" s="101">
      <c r="B784" s="81" t="n"/>
    </row>
    <row r="785" ht="15.75" customHeight="1" s="101">
      <c r="B785" s="81" t="n"/>
    </row>
    <row r="786" ht="15.75" customHeight="1" s="101">
      <c r="B786" s="81" t="n"/>
    </row>
    <row r="787" ht="15.75" customHeight="1" s="101">
      <c r="B787" s="81" t="n"/>
    </row>
    <row r="788" ht="15.75" customHeight="1" s="101">
      <c r="B788" s="81" t="n"/>
    </row>
    <row r="789" ht="15.75" customHeight="1" s="101">
      <c r="B789" s="81" t="n"/>
    </row>
    <row r="790" ht="15.75" customHeight="1" s="101">
      <c r="B790" s="81" t="n"/>
    </row>
    <row r="791" ht="15.75" customHeight="1" s="101">
      <c r="B791" s="81" t="n"/>
    </row>
    <row r="792" ht="15.75" customHeight="1" s="101">
      <c r="B792" s="81" t="n"/>
    </row>
    <row r="793" ht="15.75" customHeight="1" s="101">
      <c r="B793" s="81" t="n"/>
    </row>
    <row r="794" ht="15.75" customHeight="1" s="101">
      <c r="B794" s="81" t="n"/>
    </row>
    <row r="795" ht="15.75" customHeight="1" s="101">
      <c r="B795" s="81" t="n"/>
    </row>
    <row r="796" ht="15.75" customHeight="1" s="101">
      <c r="B796" s="81" t="n"/>
    </row>
    <row r="797" ht="15.75" customHeight="1" s="101">
      <c r="B797" s="81" t="n"/>
    </row>
    <row r="798" ht="15.75" customHeight="1" s="101">
      <c r="B798" s="81" t="n"/>
    </row>
    <row r="799" ht="15.75" customHeight="1" s="101">
      <c r="B799" s="81" t="n"/>
    </row>
    <row r="800" ht="15.75" customHeight="1" s="101">
      <c r="B800" s="81" t="n"/>
    </row>
    <row r="801" ht="15.75" customHeight="1" s="101">
      <c r="B801" s="81" t="n"/>
    </row>
    <row r="802" ht="15.75" customHeight="1" s="101">
      <c r="B802" s="81" t="n"/>
    </row>
    <row r="803" ht="15.75" customHeight="1" s="101">
      <c r="B803" s="81" t="n"/>
    </row>
    <row r="804" ht="15.75" customHeight="1" s="101">
      <c r="B804" s="81" t="n"/>
    </row>
    <row r="805" ht="15.75" customHeight="1" s="101">
      <c r="B805" s="81" t="n"/>
    </row>
    <row r="806" ht="15.75" customHeight="1" s="101">
      <c r="B806" s="81" t="n"/>
    </row>
    <row r="807" ht="15.75" customHeight="1" s="101">
      <c r="B807" s="81" t="n"/>
    </row>
    <row r="808" ht="15.75" customHeight="1" s="101">
      <c r="B808" s="81" t="n"/>
    </row>
    <row r="809" ht="15.75" customHeight="1" s="101">
      <c r="B809" s="81" t="n"/>
    </row>
    <row r="810" ht="15.75" customHeight="1" s="101">
      <c r="B810" s="81" t="n"/>
    </row>
    <row r="811" ht="15.75" customHeight="1" s="101">
      <c r="B811" s="81" t="n"/>
    </row>
    <row r="812" ht="15.75" customHeight="1" s="101">
      <c r="B812" s="81" t="n"/>
    </row>
    <row r="813" ht="15.75" customHeight="1" s="101">
      <c r="B813" s="81" t="n"/>
    </row>
    <row r="814" ht="15.75" customHeight="1" s="101">
      <c r="B814" s="81" t="n"/>
    </row>
    <row r="815" ht="15.75" customHeight="1" s="101">
      <c r="B815" s="81" t="n"/>
    </row>
    <row r="816" ht="15.75" customHeight="1" s="101">
      <c r="B816" s="81" t="n"/>
    </row>
    <row r="817" ht="15.75" customHeight="1" s="101">
      <c r="B817" s="81" t="n"/>
    </row>
    <row r="818" ht="15.75" customHeight="1" s="101">
      <c r="B818" s="81" t="n"/>
    </row>
    <row r="819" ht="15.75" customHeight="1" s="101">
      <c r="B819" s="81" t="n"/>
    </row>
    <row r="820" ht="15.75" customHeight="1" s="101">
      <c r="B820" s="81" t="n"/>
    </row>
    <row r="821" ht="15.75" customHeight="1" s="101">
      <c r="B821" s="81" t="n"/>
    </row>
    <row r="822" ht="15.75" customHeight="1" s="101">
      <c r="B822" s="81" t="n"/>
    </row>
    <row r="823" ht="15.75" customHeight="1" s="101">
      <c r="B823" s="81" t="n"/>
    </row>
    <row r="824" ht="15.75" customHeight="1" s="101">
      <c r="B824" s="81" t="n"/>
    </row>
    <row r="825" ht="15.75" customHeight="1" s="101">
      <c r="B825" s="81" t="n"/>
    </row>
    <row r="826" ht="15.75" customHeight="1" s="101">
      <c r="B826" s="81" t="n"/>
    </row>
    <row r="827" ht="15.75" customHeight="1" s="101">
      <c r="B827" s="81" t="n"/>
    </row>
    <row r="828" ht="15.75" customHeight="1" s="101">
      <c r="B828" s="81" t="n"/>
    </row>
    <row r="829" ht="15.75" customHeight="1" s="101">
      <c r="B829" s="81" t="n"/>
    </row>
    <row r="830" ht="15.75" customHeight="1" s="101">
      <c r="B830" s="81" t="n"/>
    </row>
    <row r="831" ht="15.75" customHeight="1" s="101">
      <c r="B831" s="81" t="n"/>
    </row>
    <row r="832" ht="15.75" customHeight="1" s="101">
      <c r="B832" s="81" t="n"/>
    </row>
    <row r="833" ht="15.75" customHeight="1" s="101">
      <c r="B833" s="81" t="n"/>
    </row>
    <row r="834" ht="15.75" customHeight="1" s="101">
      <c r="B834" s="81" t="n"/>
    </row>
    <row r="835" ht="15.75" customHeight="1" s="101">
      <c r="B835" s="81" t="n"/>
    </row>
    <row r="836" ht="15.75" customHeight="1" s="101">
      <c r="B836" s="81" t="n"/>
    </row>
    <row r="837" ht="15.75" customHeight="1" s="101">
      <c r="B837" s="81" t="n"/>
    </row>
    <row r="838" ht="15.75" customHeight="1" s="101">
      <c r="B838" s="81" t="n"/>
    </row>
    <row r="839" ht="15.75" customHeight="1" s="101">
      <c r="B839" s="81" t="n"/>
    </row>
    <row r="840" ht="15.75" customHeight="1" s="101">
      <c r="B840" s="81" t="n"/>
    </row>
    <row r="841" ht="15.75" customHeight="1" s="101">
      <c r="B841" s="81" t="n"/>
    </row>
    <row r="842" ht="15.75" customHeight="1" s="101">
      <c r="B842" s="81" t="n"/>
    </row>
    <row r="843" ht="15.75" customHeight="1" s="101">
      <c r="B843" s="81" t="n"/>
    </row>
    <row r="844" ht="15.75" customHeight="1" s="101">
      <c r="B844" s="81" t="n"/>
    </row>
    <row r="845" ht="15.75" customHeight="1" s="101">
      <c r="B845" s="81" t="n"/>
    </row>
    <row r="846" ht="15.75" customHeight="1" s="101">
      <c r="B846" s="81" t="n"/>
    </row>
    <row r="847" ht="15.75" customHeight="1" s="101">
      <c r="B847" s="81" t="n"/>
    </row>
    <row r="848" ht="15.75" customHeight="1" s="101">
      <c r="B848" s="81" t="n"/>
    </row>
    <row r="849" ht="15.75" customHeight="1" s="101">
      <c r="B849" s="81" t="n"/>
    </row>
    <row r="850" ht="15.75" customHeight="1" s="101">
      <c r="B850" s="81" t="n"/>
    </row>
    <row r="851" ht="15.75" customHeight="1" s="101">
      <c r="B851" s="81" t="n"/>
    </row>
    <row r="852" ht="15.75" customHeight="1" s="101">
      <c r="B852" s="81" t="n"/>
    </row>
    <row r="853" ht="15.75" customHeight="1" s="101">
      <c r="B853" s="81" t="n"/>
    </row>
    <row r="854" ht="15.75" customHeight="1" s="101">
      <c r="B854" s="81" t="n"/>
    </row>
    <row r="855" ht="15.75" customHeight="1" s="101">
      <c r="B855" s="81" t="n"/>
    </row>
    <row r="856" ht="15.75" customHeight="1" s="101">
      <c r="B856" s="81" t="n"/>
    </row>
    <row r="857" ht="15.75" customHeight="1" s="101">
      <c r="B857" s="81" t="n"/>
    </row>
    <row r="858" ht="15.75" customHeight="1" s="101">
      <c r="B858" s="81" t="n"/>
    </row>
    <row r="859" ht="15.75" customHeight="1" s="101">
      <c r="B859" s="81" t="n"/>
    </row>
    <row r="860" ht="15.75" customHeight="1" s="101">
      <c r="B860" s="81" t="n"/>
    </row>
    <row r="861" ht="15.75" customHeight="1" s="101">
      <c r="B861" s="81" t="n"/>
    </row>
    <row r="862" ht="15.75" customHeight="1" s="101">
      <c r="B862" s="81" t="n"/>
    </row>
    <row r="863" ht="15.75" customHeight="1" s="101">
      <c r="B863" s="81" t="n"/>
    </row>
    <row r="864" ht="15.75" customHeight="1" s="101">
      <c r="B864" s="81" t="n"/>
    </row>
    <row r="865" ht="15.75" customHeight="1" s="101">
      <c r="B865" s="81" t="n"/>
    </row>
    <row r="866" ht="15.75" customHeight="1" s="101">
      <c r="B866" s="81" t="n"/>
    </row>
    <row r="867" ht="15.75" customHeight="1" s="101">
      <c r="B867" s="81" t="n"/>
    </row>
    <row r="868" ht="15.75" customHeight="1" s="101">
      <c r="B868" s="81" t="n"/>
    </row>
    <row r="869" ht="15.75" customHeight="1" s="101">
      <c r="B869" s="81" t="n"/>
    </row>
    <row r="870" ht="15.75" customHeight="1" s="101">
      <c r="B870" s="81" t="n"/>
    </row>
    <row r="871" ht="15.75" customHeight="1" s="101">
      <c r="B871" s="81" t="n"/>
    </row>
    <row r="872" ht="15.75" customHeight="1" s="101">
      <c r="B872" s="81" t="n"/>
    </row>
    <row r="873" ht="15.75" customHeight="1" s="101">
      <c r="B873" s="81" t="n"/>
    </row>
    <row r="874" ht="15.75" customHeight="1" s="101">
      <c r="B874" s="81" t="n"/>
    </row>
    <row r="875" ht="15.75" customHeight="1" s="101">
      <c r="B875" s="81" t="n"/>
    </row>
    <row r="876" ht="15.75" customHeight="1" s="101">
      <c r="B876" s="81" t="n"/>
    </row>
    <row r="877" ht="15.75" customHeight="1" s="101">
      <c r="B877" s="81" t="n"/>
    </row>
    <row r="878" ht="15.75" customHeight="1" s="101">
      <c r="B878" s="81" t="n"/>
    </row>
    <row r="879" ht="15.75" customHeight="1" s="101">
      <c r="B879" s="81" t="n"/>
    </row>
    <row r="880" ht="15.75" customHeight="1" s="101">
      <c r="B880" s="81" t="n"/>
    </row>
    <row r="881" ht="15.75" customHeight="1" s="101">
      <c r="B881" s="81" t="n"/>
    </row>
    <row r="882" ht="15.75" customHeight="1" s="101">
      <c r="B882" s="81" t="n"/>
    </row>
    <row r="883" ht="15.75" customHeight="1" s="101">
      <c r="B883" s="81" t="n"/>
    </row>
    <row r="884" ht="15.75" customHeight="1" s="101">
      <c r="B884" s="81" t="n"/>
    </row>
    <row r="885" ht="15.75" customHeight="1" s="101">
      <c r="B885" s="81" t="n"/>
    </row>
    <row r="886" ht="15.75" customHeight="1" s="101">
      <c r="B886" s="81" t="n"/>
    </row>
    <row r="887" ht="15.75" customHeight="1" s="101">
      <c r="B887" s="81" t="n"/>
    </row>
    <row r="888" ht="15.75" customHeight="1" s="101">
      <c r="B888" s="81" t="n"/>
    </row>
    <row r="889" ht="15.75" customHeight="1" s="101">
      <c r="B889" s="81" t="n"/>
    </row>
    <row r="890" ht="15.75" customHeight="1" s="101">
      <c r="B890" s="81" t="n"/>
    </row>
    <row r="891" ht="15.75" customHeight="1" s="101">
      <c r="B891" s="81" t="n"/>
    </row>
    <row r="892" ht="15.75" customHeight="1" s="101">
      <c r="B892" s="81" t="n"/>
    </row>
    <row r="893" ht="15.75" customHeight="1" s="101">
      <c r="B893" s="81" t="n"/>
    </row>
    <row r="894" ht="15.75" customHeight="1" s="101">
      <c r="B894" s="81" t="n"/>
    </row>
    <row r="895" ht="15.75" customHeight="1" s="101">
      <c r="B895" s="81" t="n"/>
    </row>
    <row r="896" ht="15.75" customHeight="1" s="101">
      <c r="B896" s="81" t="n"/>
    </row>
    <row r="897" ht="15.75" customHeight="1" s="101">
      <c r="B897" s="81" t="n"/>
    </row>
    <row r="898" ht="15.75" customHeight="1" s="101">
      <c r="B898" s="81" t="n"/>
    </row>
    <row r="899" ht="15.75" customHeight="1" s="101">
      <c r="B899" s="81" t="n"/>
    </row>
    <row r="900" ht="15.75" customHeight="1" s="101">
      <c r="B900" s="81" t="n"/>
    </row>
    <row r="901" ht="15.75" customHeight="1" s="101">
      <c r="B901" s="81" t="n"/>
    </row>
    <row r="902" ht="15.75" customHeight="1" s="101">
      <c r="B902" s="81" t="n"/>
    </row>
    <row r="903" ht="15.75" customHeight="1" s="101">
      <c r="B903" s="81" t="n"/>
    </row>
    <row r="904" ht="15.75" customHeight="1" s="101">
      <c r="B904" s="81" t="n"/>
    </row>
    <row r="905" ht="15.75" customHeight="1" s="101">
      <c r="B905" s="81" t="n"/>
    </row>
    <row r="906" ht="15.75" customHeight="1" s="101">
      <c r="B906" s="81" t="n"/>
    </row>
    <row r="907" ht="15.75" customHeight="1" s="101">
      <c r="B907" s="81" t="n"/>
    </row>
    <row r="908" ht="15.75" customHeight="1" s="101">
      <c r="B908" s="81" t="n"/>
    </row>
    <row r="909" ht="15.75" customHeight="1" s="101">
      <c r="B909" s="81" t="n"/>
    </row>
    <row r="910" ht="15.75" customHeight="1" s="101">
      <c r="B910" s="81" t="n"/>
    </row>
    <row r="911" ht="15.75" customHeight="1" s="101">
      <c r="B911" s="81" t="n"/>
    </row>
    <row r="912" ht="15.75" customHeight="1" s="101">
      <c r="B912" s="81" t="n"/>
    </row>
    <row r="913" ht="15.75" customHeight="1" s="101">
      <c r="B913" s="81" t="n"/>
    </row>
    <row r="914" ht="15.75" customHeight="1" s="101">
      <c r="B914" s="81" t="n"/>
    </row>
    <row r="915" ht="15.75" customHeight="1" s="101">
      <c r="B915" s="81" t="n"/>
    </row>
    <row r="916" ht="15.75" customHeight="1" s="101">
      <c r="B916" s="81" t="n"/>
    </row>
    <row r="917" ht="15.75" customHeight="1" s="101">
      <c r="B917" s="81" t="n"/>
    </row>
    <row r="918" ht="15.75" customHeight="1" s="101">
      <c r="B918" s="81" t="n"/>
    </row>
    <row r="919" ht="15.75" customHeight="1" s="101">
      <c r="B919" s="81" t="n"/>
    </row>
    <row r="920" ht="15.75" customHeight="1" s="101">
      <c r="B920" s="81" t="n"/>
    </row>
    <row r="921" ht="15.75" customHeight="1" s="101">
      <c r="B921" s="81" t="n"/>
    </row>
    <row r="922" ht="15.75" customHeight="1" s="101">
      <c r="B922" s="81" t="n"/>
    </row>
    <row r="923" ht="15.75" customHeight="1" s="101">
      <c r="B923" s="81" t="n"/>
    </row>
    <row r="924" ht="15.75" customHeight="1" s="101">
      <c r="B924" s="81" t="n"/>
    </row>
    <row r="925" ht="15.75" customHeight="1" s="101">
      <c r="B925" s="81" t="n"/>
    </row>
    <row r="926" ht="15.75" customHeight="1" s="101">
      <c r="B926" s="81" t="n"/>
    </row>
    <row r="927" ht="15.75" customHeight="1" s="101">
      <c r="B927" s="81" t="n"/>
    </row>
    <row r="928" ht="15.75" customHeight="1" s="101">
      <c r="B928" s="81" t="n"/>
    </row>
    <row r="929" ht="15.75" customHeight="1" s="101">
      <c r="B929" s="81" t="n"/>
    </row>
    <row r="930" ht="15.75" customHeight="1" s="101">
      <c r="B930" s="81" t="n"/>
    </row>
    <row r="931" ht="15.75" customHeight="1" s="101">
      <c r="B931" s="81" t="n"/>
    </row>
    <row r="932" ht="15.75" customHeight="1" s="101">
      <c r="B932" s="81" t="n"/>
    </row>
    <row r="933" ht="15.75" customHeight="1" s="101">
      <c r="B933" s="81" t="n"/>
    </row>
    <row r="934" ht="15.75" customHeight="1" s="101">
      <c r="B934" s="81" t="n"/>
    </row>
    <row r="935" ht="15.75" customHeight="1" s="101">
      <c r="B935" s="81" t="n"/>
    </row>
    <row r="936" ht="15.75" customHeight="1" s="101">
      <c r="B936" s="81" t="n"/>
    </row>
    <row r="937" ht="15.75" customHeight="1" s="101">
      <c r="B937" s="81" t="n"/>
    </row>
    <row r="938" ht="15.75" customHeight="1" s="101">
      <c r="B938" s="81" t="n"/>
    </row>
    <row r="939" ht="15.75" customHeight="1" s="101">
      <c r="B939" s="81" t="n"/>
    </row>
    <row r="940" ht="15.75" customHeight="1" s="101">
      <c r="B940" s="81" t="n"/>
    </row>
    <row r="941" ht="15.75" customHeight="1" s="101">
      <c r="B941" s="81" t="n"/>
    </row>
    <row r="942" ht="15.75" customHeight="1" s="101">
      <c r="B942" s="81" t="n"/>
    </row>
    <row r="943" ht="15.75" customHeight="1" s="101">
      <c r="B943" s="81" t="n"/>
    </row>
    <row r="944" ht="15.75" customHeight="1" s="101">
      <c r="B944" s="81" t="n"/>
    </row>
    <row r="945" ht="15.75" customHeight="1" s="101">
      <c r="B945" s="81" t="n"/>
    </row>
    <row r="946" ht="15.75" customHeight="1" s="101">
      <c r="B946" s="81" t="n"/>
    </row>
    <row r="947" ht="15.75" customHeight="1" s="101">
      <c r="B947" s="81" t="n"/>
    </row>
    <row r="948" ht="15.75" customHeight="1" s="101">
      <c r="B948" s="81" t="n"/>
    </row>
    <row r="949" ht="15.75" customHeight="1" s="101">
      <c r="B949" s="81" t="n"/>
    </row>
    <row r="950" ht="15.75" customHeight="1" s="101">
      <c r="B950" s="81" t="n"/>
    </row>
    <row r="951" ht="15.75" customHeight="1" s="101">
      <c r="B951" s="81" t="n"/>
    </row>
    <row r="952" ht="15.75" customHeight="1" s="101">
      <c r="B952" s="81" t="n"/>
    </row>
    <row r="953" ht="15.75" customHeight="1" s="101">
      <c r="B953" s="81" t="n"/>
    </row>
    <row r="954" ht="15.75" customHeight="1" s="101">
      <c r="B954" s="81" t="n"/>
    </row>
    <row r="955" ht="15.75" customHeight="1" s="101">
      <c r="B955" s="81" t="n"/>
    </row>
    <row r="956" ht="15.75" customHeight="1" s="101">
      <c r="B956" s="81" t="n"/>
    </row>
    <row r="957" ht="15.75" customHeight="1" s="101">
      <c r="B957" s="81" t="n"/>
    </row>
    <row r="958" ht="15.75" customHeight="1" s="101">
      <c r="B958" s="81" t="n"/>
    </row>
    <row r="959" ht="15.75" customHeight="1" s="101">
      <c r="B959" s="81" t="n"/>
    </row>
    <row r="960" ht="15.75" customHeight="1" s="101">
      <c r="B960" s="81" t="n"/>
    </row>
    <row r="961" ht="15.75" customHeight="1" s="101">
      <c r="B961" s="81" t="n"/>
    </row>
    <row r="962" ht="15.75" customHeight="1" s="101">
      <c r="B962" s="81" t="n"/>
    </row>
    <row r="963" ht="15.75" customHeight="1" s="101">
      <c r="B963" s="81" t="n"/>
    </row>
    <row r="964" ht="15.75" customHeight="1" s="101">
      <c r="B964" s="81" t="n"/>
    </row>
    <row r="965" ht="15.75" customHeight="1" s="101">
      <c r="B965" s="81" t="n"/>
    </row>
    <row r="966" ht="15.75" customHeight="1" s="101">
      <c r="B966" s="81" t="n"/>
    </row>
    <row r="967" ht="15.75" customHeight="1" s="101">
      <c r="B967" s="81" t="n"/>
    </row>
    <row r="968" ht="15.75" customHeight="1" s="101">
      <c r="B968" s="81" t="n"/>
    </row>
    <row r="969" ht="15.75" customHeight="1" s="101">
      <c r="B969" s="81" t="n"/>
    </row>
    <row r="970" ht="15.75" customHeight="1" s="101">
      <c r="B970" s="81" t="n"/>
    </row>
    <row r="971" ht="15.75" customHeight="1" s="101">
      <c r="B971" s="81" t="n"/>
    </row>
    <row r="972" ht="15.75" customHeight="1" s="101">
      <c r="B972" s="81" t="n"/>
    </row>
    <row r="973" ht="15.75" customHeight="1" s="101">
      <c r="B973" s="81" t="n"/>
    </row>
    <row r="974" ht="15.75" customHeight="1" s="101">
      <c r="B974" s="81" t="n"/>
    </row>
    <row r="975" ht="15.75" customHeight="1" s="101">
      <c r="B975" s="81" t="n"/>
    </row>
    <row r="976" ht="15.75" customHeight="1" s="101">
      <c r="B976" s="81" t="n"/>
    </row>
    <row r="977" ht="15.75" customHeight="1" s="101">
      <c r="B977" s="81" t="n"/>
    </row>
    <row r="978" ht="15.75" customHeight="1" s="101">
      <c r="B978" s="81" t="n"/>
    </row>
    <row r="979" ht="15.75" customHeight="1" s="101">
      <c r="B979" s="81" t="n"/>
    </row>
    <row r="980" ht="15.75" customHeight="1" s="101">
      <c r="B980" s="81" t="n"/>
    </row>
    <row r="981" ht="15.75" customHeight="1" s="101">
      <c r="B981" s="81" t="n"/>
    </row>
    <row r="982" ht="15.75" customHeight="1" s="101">
      <c r="B982" s="81" t="n"/>
    </row>
    <row r="983" ht="15.75" customHeight="1" s="101">
      <c r="B983" s="81" t="n"/>
    </row>
    <row r="984" ht="15.75" customHeight="1" s="101">
      <c r="B984" s="81" t="n"/>
    </row>
    <row r="985" ht="15.75" customHeight="1" s="101">
      <c r="B985" s="81" t="n"/>
    </row>
    <row r="986" ht="15.75" customHeight="1" s="101">
      <c r="B986" s="81" t="n"/>
    </row>
    <row r="987" ht="15.75" customHeight="1" s="101">
      <c r="B987" s="81" t="n"/>
    </row>
  </sheetData>
  <autoFilter ref="$A$1:$H$23"/>
  <conditionalFormatting sqref="B2:H187">
    <cfRule type="expression" priority="1" dxfId="0">
      <formula>$H2="Pendente"</formula>
    </cfRule>
    <cfRule type="expression" priority="2" dxfId="1">
      <formula>$H2="Pago"</formula>
    </cfRule>
    <cfRule type="expression" priority="3" dxfId="1">
      <formula>$H2="Recebido"</formula>
    </cfRule>
    <cfRule type="expression" priority="4" dxfId="2">
      <formula>$H2="A Pagar"</formula>
    </cfRule>
  </conditionalFormatting>
  <conditionalFormatting sqref="A2:A187">
    <cfRule type="expression" priority="5" dxfId="3">
      <formula>$A2="Receita"</formula>
    </cfRule>
    <cfRule type="expression" priority="6" dxfId="4">
      <formula>$A2="Despesa"</formula>
    </cfRule>
  </conditionalFormatting>
  <dataValidations count="5">
    <dataValidation sqref="E2:E487" showDropDown="0" showInputMessage="0" showErrorMessage="0" allowBlank="1" type="list">
      <formula1>Config!$C$2:$C$4</formula1>
    </dataValidation>
    <dataValidation sqref="D2:D487" showDropDown="0" showInputMessage="0" showErrorMessage="0" allowBlank="1" type="list">
      <formula1>Config!$A$2:$A$27</formula1>
    </dataValidation>
    <dataValidation sqref="H2:H487" showDropDown="0" showInputMessage="0" showErrorMessage="0" allowBlank="1" type="list">
      <formula1>"Pendente,Pago,A Pagar,Recebido"</formula1>
    </dataValidation>
    <dataValidation sqref="F2:F487" showDropDown="0" showInputMessage="0" showErrorMessage="0" allowBlank="1" type="list">
      <formula1>Config!$G$2:$G$3</formula1>
    </dataValidation>
    <dataValidation sqref="A2:A487" showDropDown="0" showInputMessage="0" showErrorMessage="0" allowBlank="1" type="list">
      <formula1>"Receita,Despesa"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Q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1.57" customWidth="1" style="101" min="1" max="1"/>
    <col width="28.71" customWidth="1" style="101" min="2" max="2"/>
    <col width="18.71" customWidth="1" style="101" min="3" max="3"/>
    <col width="11.57" customWidth="1" style="101" min="4" max="4"/>
    <col width="16.57" customWidth="1" style="101" min="5" max="5"/>
    <col width="17.29" customWidth="1" style="101" min="6" max="6"/>
    <col width="15.86" customWidth="1" style="101" min="7" max="7"/>
    <col width="17.29" customWidth="1" style="101" min="8" max="8"/>
    <col width="15.86" customWidth="1" style="101" min="9" max="9"/>
    <col width="13" customWidth="1" style="101" min="10" max="10"/>
    <col width="11.57" customWidth="1" style="101" min="11" max="11"/>
    <col width="9.43" customWidth="1" style="101" min="12" max="12"/>
    <col width="12.29" customWidth="1" style="101" min="13" max="13"/>
    <col width="8" customWidth="1" style="101" min="14" max="14"/>
    <col width="47.29" customWidth="1" style="101" min="15" max="15"/>
    <col width="20.86" customWidth="1" style="101" min="16" max="16"/>
    <col width="17.29" customWidth="1" style="101" min="17" max="17"/>
  </cols>
  <sheetData>
    <row r="1" ht="24" customHeight="1" s="101">
      <c r="A1" s="82" t="inlineStr">
        <is>
          <t>Ticker</t>
        </is>
      </c>
      <c r="B1" s="82" t="inlineStr">
        <is>
          <t>Nome</t>
        </is>
      </c>
      <c r="C1" s="82" t="inlineStr">
        <is>
          <t>Segmento</t>
        </is>
      </c>
      <c r="D1" s="82" t="inlineStr">
        <is>
          <t>Qtd Cotas</t>
        </is>
      </c>
      <c r="E1" s="82" t="inlineStr">
        <is>
          <t>Preço Médio (R$)</t>
        </is>
      </c>
      <c r="F1" s="82" t="inlineStr">
        <is>
          <t>Valor Investido</t>
        </is>
      </c>
      <c r="G1" s="82" t="inlineStr">
        <is>
          <t>Preço Atual</t>
        </is>
      </c>
      <c r="H1" s="82" t="inlineStr">
        <is>
          <t>Valor Atual</t>
        </is>
      </c>
      <c r="I1" s="82" t="inlineStr">
        <is>
          <t>Lucro / Prej.</t>
        </is>
      </c>
      <c r="J1" s="82" t="inlineStr">
        <is>
          <t>Rentab. (%)</t>
        </is>
      </c>
      <c r="K1" s="82" t="inlineStr">
        <is>
          <t>DY 12m (%)</t>
        </is>
      </c>
      <c r="L1" s="82" t="inlineStr">
        <is>
          <t>P/VPA</t>
        </is>
      </c>
      <c r="M1" s="82" t="inlineStr">
        <is>
          <t>Var. Mês (%)</t>
        </is>
      </c>
      <c r="N1" s="82" t="inlineStr">
        <is>
          <t>Nota</t>
        </is>
      </c>
      <c r="O1" s="82" t="inlineStr">
        <is>
          <t>Análise</t>
        </is>
      </c>
      <c r="P1" s="82" t="inlineStr">
        <is>
          <t>Atualizado em</t>
        </is>
      </c>
      <c r="Q1" s="83" t="inlineStr">
        <is>
          <t>Div/Cota Mês (R$)</t>
        </is>
      </c>
    </row>
    <row r="2">
      <c r="D2" s="90" t="n"/>
      <c r="E2" s="91" t="n"/>
      <c r="F2" s="91" t="n"/>
      <c r="G2" s="91" t="n"/>
      <c r="H2" s="91" t="n"/>
      <c r="I2" s="91" t="n"/>
      <c r="J2" s="92" t="n"/>
      <c r="K2" s="92" t="n"/>
      <c r="L2" s="93" t="n"/>
      <c r="M2" s="92" t="n"/>
      <c r="N2" s="88" t="n"/>
      <c r="P2" s="95" t="n"/>
      <c r="Q2" s="91" t="n"/>
    </row>
    <row r="3">
      <c r="D3" s="90" t="n"/>
      <c r="E3" s="91" t="n"/>
      <c r="F3" s="91" t="n"/>
      <c r="G3" s="91" t="n"/>
      <c r="H3" s="91" t="n"/>
      <c r="I3" s="91" t="n"/>
      <c r="J3" s="92" t="n"/>
      <c r="K3" s="92" t="n"/>
      <c r="L3" s="93" t="n"/>
      <c r="M3" s="92" t="n"/>
      <c r="N3" s="94" t="n"/>
      <c r="P3" s="95" t="n"/>
      <c r="Q3" s="91" t="n"/>
    </row>
    <row r="4">
      <c r="D4" s="90" t="n"/>
      <c r="E4" s="91" t="n"/>
      <c r="F4" s="91" t="n"/>
      <c r="G4" s="91" t="n"/>
      <c r="H4" s="91" t="n"/>
      <c r="I4" s="91" t="n"/>
      <c r="J4" s="92" t="n"/>
      <c r="K4" s="92" t="n"/>
      <c r="L4" s="93" t="n"/>
      <c r="M4" s="92" t="n"/>
      <c r="N4" s="94" t="n"/>
      <c r="P4" s="95" t="n"/>
      <c r="Q4" s="91" t="n"/>
    </row>
    <row r="5">
      <c r="D5" s="90" t="n"/>
      <c r="E5" s="91" t="n"/>
      <c r="F5" s="91" t="n"/>
      <c r="G5" s="91" t="n"/>
      <c r="H5" s="91" t="n"/>
      <c r="I5" s="91" t="n"/>
      <c r="J5" s="92" t="n"/>
      <c r="K5" s="92" t="n"/>
      <c r="L5" s="93" t="n"/>
      <c r="M5" s="92" t="n"/>
      <c r="N5" s="94" t="n"/>
      <c r="P5" s="95" t="n"/>
      <c r="Q5" s="91" t="n"/>
    </row>
    <row r="6">
      <c r="D6" s="90" t="n"/>
      <c r="E6" s="91" t="n"/>
      <c r="F6" s="91" t="n"/>
      <c r="G6" s="91" t="n"/>
      <c r="H6" s="91" t="n"/>
      <c r="I6" s="91" t="n"/>
      <c r="J6" s="92" t="n"/>
      <c r="K6" s="92" t="n"/>
      <c r="L6" s="93" t="n"/>
      <c r="M6" s="92" t="n"/>
      <c r="N6" s="94" t="n"/>
      <c r="P6" s="95" t="n"/>
      <c r="Q6" s="91" t="n"/>
    </row>
    <row r="7">
      <c r="D7" s="90" t="n"/>
      <c r="E7" s="91" t="n"/>
      <c r="F7" s="91" t="n"/>
      <c r="G7" s="91" t="n"/>
      <c r="H7" s="91" t="n"/>
      <c r="I7" s="91" t="n"/>
      <c r="J7" s="92" t="n"/>
      <c r="K7" s="92" t="n"/>
      <c r="L7" s="93" t="n"/>
      <c r="M7" s="92" t="n"/>
      <c r="N7" s="94" t="n"/>
      <c r="P7" s="95" t="n"/>
      <c r="Q7" s="91" t="n"/>
    </row>
    <row r="8">
      <c r="D8" s="90" t="n"/>
      <c r="E8" s="91" t="n"/>
      <c r="F8" s="91" t="n"/>
      <c r="G8" s="91" t="n"/>
      <c r="H8" s="91" t="n"/>
      <c r="I8" s="91" t="n"/>
      <c r="J8" s="92" t="n"/>
      <c r="K8" s="92" t="n"/>
      <c r="L8" s="93" t="n"/>
      <c r="M8" s="92" t="n"/>
      <c r="N8" s="94" t="n"/>
      <c r="P8" s="95" t="n"/>
      <c r="Q8" s="91" t="n"/>
    </row>
    <row r="9">
      <c r="D9" s="90" t="n"/>
      <c r="E9" s="91" t="n"/>
      <c r="F9" s="91" t="n"/>
      <c r="G9" s="91" t="n"/>
      <c r="H9" s="91" t="n"/>
      <c r="I9" s="91" t="n"/>
      <c r="J9" s="92" t="n"/>
      <c r="K9" s="92" t="n"/>
      <c r="L9" s="93" t="n"/>
      <c r="M9" s="92" t="n"/>
      <c r="N9" s="94" t="n"/>
      <c r="P9" s="95" t="n"/>
      <c r="Q9" s="91" t="n"/>
    </row>
    <row r="10">
      <c r="D10" s="90" t="n"/>
      <c r="E10" s="91" t="n"/>
      <c r="F10" s="91" t="n"/>
      <c r="G10" s="91" t="n"/>
      <c r="H10" s="91" t="n"/>
      <c r="I10" s="91" t="n"/>
      <c r="J10" s="92" t="n"/>
      <c r="K10" s="92" t="n"/>
      <c r="L10" s="93" t="n"/>
      <c r="M10" s="92" t="n"/>
      <c r="N10" s="94" t="n"/>
      <c r="P10" s="95" t="n"/>
      <c r="Q10" s="91" t="n"/>
    </row>
    <row r="11">
      <c r="D11" s="90" t="n"/>
      <c r="E11" s="91" t="n"/>
      <c r="F11" s="91" t="n"/>
      <c r="G11" s="91" t="n"/>
      <c r="H11" s="91" t="n"/>
      <c r="I11" s="91" t="n"/>
      <c r="J11" s="92" t="n"/>
      <c r="K11" s="92" t="n"/>
      <c r="L11" s="93" t="n"/>
      <c r="M11" s="92" t="n"/>
      <c r="N11" s="94" t="n"/>
      <c r="P11" s="95" t="n"/>
      <c r="Q11" s="91" t="n"/>
    </row>
    <row r="12">
      <c r="D12" s="90" t="n"/>
      <c r="E12" s="91" t="n"/>
      <c r="F12" s="91" t="n"/>
      <c r="G12" s="91" t="n"/>
      <c r="H12" s="91" t="n"/>
      <c r="I12" s="91" t="n"/>
      <c r="J12" s="92" t="n"/>
      <c r="K12" s="92" t="n"/>
      <c r="L12" s="93" t="n"/>
      <c r="M12" s="92" t="n"/>
      <c r="N12" s="94" t="n"/>
      <c r="P12" s="95" t="n"/>
      <c r="Q12" s="91" t="n"/>
    </row>
    <row r="13">
      <c r="D13" s="90" t="n"/>
      <c r="E13" s="91" t="n"/>
      <c r="F13" s="91" t="n"/>
      <c r="G13" s="91" t="n"/>
      <c r="H13" s="91" t="n"/>
      <c r="I13" s="91" t="n"/>
      <c r="J13" s="92" t="n"/>
      <c r="K13" s="92" t="n"/>
      <c r="L13" s="93" t="n"/>
      <c r="M13" s="92" t="n"/>
      <c r="N13" s="94" t="n"/>
      <c r="P13" s="95" t="n"/>
      <c r="Q13" s="91" t="n"/>
    </row>
    <row r="14">
      <c r="D14" s="90" t="n"/>
      <c r="E14" s="91" t="n"/>
      <c r="F14" s="91" t="n"/>
      <c r="G14" s="91" t="n"/>
      <c r="H14" s="91" t="n"/>
      <c r="I14" s="91" t="n"/>
      <c r="J14" s="92" t="n"/>
      <c r="K14" s="92" t="n"/>
      <c r="L14" s="93" t="n"/>
      <c r="M14" s="92" t="n"/>
      <c r="N14" s="94" t="n"/>
      <c r="P14" s="95" t="n"/>
      <c r="Q14" s="91" t="n"/>
    </row>
    <row r="15">
      <c r="D15" s="90" t="n"/>
      <c r="E15" s="91" t="n"/>
      <c r="F15" s="91" t="n"/>
      <c r="G15" s="91" t="n"/>
      <c r="H15" s="91" t="n"/>
      <c r="I15" s="91" t="n"/>
      <c r="J15" s="92" t="n"/>
      <c r="K15" s="92" t="n"/>
      <c r="L15" s="93" t="n"/>
      <c r="M15" s="92" t="n"/>
      <c r="N15" s="94" t="n"/>
      <c r="P15" s="95" t="n"/>
      <c r="Q15" s="91" t="n"/>
    </row>
    <row r="16">
      <c r="D16" s="90" t="n"/>
      <c r="E16" s="91" t="n"/>
      <c r="F16" s="91" t="n"/>
      <c r="G16" s="91" t="n"/>
      <c r="H16" s="91" t="n"/>
      <c r="I16" s="91" t="n"/>
      <c r="J16" s="92" t="n"/>
      <c r="K16" s="92" t="n"/>
      <c r="L16" s="93" t="n"/>
      <c r="M16" s="92" t="n"/>
      <c r="N16" s="94" t="n"/>
      <c r="P16" s="95" t="n"/>
      <c r="Q16" s="91" t="n"/>
    </row>
    <row r="17">
      <c r="D17" s="90" t="n"/>
      <c r="E17" s="91" t="n"/>
      <c r="F17" s="91" t="n"/>
      <c r="G17" s="91" t="n"/>
      <c r="H17" s="91" t="n"/>
      <c r="I17" s="91" t="n"/>
      <c r="J17" s="92" t="n"/>
      <c r="K17" s="92" t="n"/>
      <c r="L17" s="93" t="n"/>
      <c r="M17" s="92" t="n"/>
      <c r="N17" s="94" t="n"/>
      <c r="P17" s="95" t="n"/>
      <c r="Q17" s="91" t="n"/>
    </row>
    <row r="18">
      <c r="D18" s="90" t="n"/>
      <c r="E18" s="91" t="n"/>
      <c r="F18" s="91" t="n"/>
      <c r="G18" s="91" t="n"/>
      <c r="H18" s="91" t="n"/>
      <c r="I18" s="91" t="n"/>
      <c r="J18" s="92" t="n"/>
      <c r="K18" s="92" t="n"/>
      <c r="L18" s="93" t="n"/>
      <c r="M18" s="92" t="n"/>
      <c r="N18" s="94" t="n"/>
      <c r="P18" s="95" t="n"/>
      <c r="Q18" s="91" t="n"/>
    </row>
    <row r="19">
      <c r="D19" s="90" t="n"/>
      <c r="E19" s="91" t="n"/>
      <c r="F19" s="91" t="n"/>
      <c r="G19" s="91" t="n"/>
      <c r="H19" s="91" t="n"/>
      <c r="I19" s="91" t="n"/>
      <c r="J19" s="92" t="n"/>
      <c r="K19" s="92" t="n"/>
      <c r="L19" s="93" t="n"/>
      <c r="M19" s="92" t="n"/>
      <c r="N19" s="94" t="n"/>
      <c r="P19" s="95" t="n"/>
      <c r="Q19" s="91" t="n"/>
    </row>
    <row r="20">
      <c r="D20" s="90" t="n"/>
      <c r="E20" s="91" t="n"/>
      <c r="F20" s="91" t="n"/>
      <c r="G20" s="91" t="n"/>
      <c r="H20" s="91" t="n"/>
      <c r="I20" s="91" t="n"/>
      <c r="J20" s="92" t="n"/>
      <c r="K20" s="92" t="n"/>
      <c r="L20" s="93" t="n"/>
      <c r="M20" s="92" t="n"/>
      <c r="N20" s="94" t="n"/>
      <c r="P20" s="95" t="n"/>
      <c r="Q20" s="91" t="n"/>
    </row>
    <row r="21">
      <c r="D21" s="90" t="n"/>
      <c r="E21" s="91" t="n"/>
      <c r="F21" s="91" t="n"/>
      <c r="G21" s="91" t="n"/>
      <c r="H21" s="91" t="n"/>
      <c r="I21" s="91" t="n"/>
      <c r="J21" s="92" t="n"/>
      <c r="K21" s="92" t="n"/>
      <c r="L21" s="93" t="n"/>
      <c r="M21" s="92" t="n"/>
      <c r="N21" s="94" t="n"/>
      <c r="P21" s="95" t="n"/>
      <c r="Q21" s="91" t="n"/>
    </row>
    <row r="22">
      <c r="D22" s="90" t="n"/>
      <c r="E22" s="91" t="n"/>
      <c r="F22" s="91" t="n"/>
      <c r="G22" s="91" t="n"/>
      <c r="H22" s="91" t="n"/>
      <c r="I22" s="91" t="n"/>
      <c r="J22" s="92" t="n"/>
      <c r="K22" s="92" t="n"/>
      <c r="L22" s="93" t="n"/>
      <c r="M22" s="92" t="n"/>
      <c r="N22" s="94" t="n"/>
      <c r="P22" s="95" t="n"/>
      <c r="Q22" s="91" t="n"/>
    </row>
    <row r="23">
      <c r="D23" s="90" t="n"/>
      <c r="E23" s="91" t="n"/>
      <c r="F23" s="91" t="n"/>
      <c r="G23" s="91" t="n"/>
      <c r="H23" s="91" t="n"/>
      <c r="I23" s="91" t="n"/>
      <c r="J23" s="92" t="n"/>
      <c r="K23" s="92" t="n"/>
      <c r="L23" s="93" t="n"/>
      <c r="M23" s="92" t="n"/>
      <c r="N23" s="94" t="n"/>
      <c r="P23" s="95" t="n"/>
      <c r="Q23" s="91" t="n"/>
    </row>
    <row r="24">
      <c r="D24" s="90" t="n"/>
      <c r="E24" s="91" t="n"/>
      <c r="F24" s="91" t="n"/>
      <c r="G24" s="91" t="n"/>
      <c r="H24" s="91" t="n"/>
      <c r="I24" s="91" t="n"/>
      <c r="J24" s="92" t="n"/>
      <c r="K24" s="92" t="n"/>
      <c r="L24" s="93" t="n"/>
      <c r="M24" s="92" t="n"/>
      <c r="N24" s="94" t="n"/>
      <c r="P24" s="95" t="n"/>
      <c r="Q24" s="91" t="n"/>
    </row>
    <row r="25">
      <c r="D25" s="90" t="n"/>
      <c r="E25" s="91" t="n"/>
      <c r="F25" s="91" t="n"/>
      <c r="G25" s="91" t="n"/>
      <c r="H25" s="91" t="n"/>
      <c r="I25" s="91" t="n"/>
      <c r="J25" s="92" t="n"/>
      <c r="K25" s="92" t="n"/>
      <c r="L25" s="93" t="n"/>
      <c r="M25" s="92" t="n"/>
      <c r="N25" s="94" t="n"/>
      <c r="P25" s="95" t="n"/>
      <c r="Q25" s="91" t="n"/>
    </row>
    <row r="26">
      <c r="D26" s="90" t="n"/>
      <c r="E26" s="91" t="n"/>
      <c r="F26" s="91" t="n"/>
      <c r="G26" s="91" t="n"/>
      <c r="H26" s="91" t="n"/>
      <c r="I26" s="91" t="n"/>
      <c r="J26" s="92" t="n"/>
      <c r="K26" s="92" t="n"/>
      <c r="L26" s="93" t="n"/>
      <c r="M26" s="92" t="n"/>
      <c r="N26" s="94" t="n"/>
      <c r="P26" s="95" t="n"/>
      <c r="Q26" s="91" t="n"/>
    </row>
    <row r="27">
      <c r="D27" s="90" t="n"/>
      <c r="E27" s="91" t="n"/>
      <c r="F27" s="91" t="n"/>
      <c r="G27" s="91" t="n"/>
      <c r="H27" s="91" t="n"/>
      <c r="I27" s="91" t="n"/>
      <c r="J27" s="92" t="n"/>
      <c r="K27" s="92" t="n"/>
      <c r="L27" s="93" t="n"/>
      <c r="M27" s="92" t="n"/>
      <c r="N27" s="94" t="n"/>
      <c r="P27" s="95" t="n"/>
      <c r="Q27" s="91" t="n"/>
    </row>
    <row r="28">
      <c r="D28" s="90" t="n"/>
      <c r="E28" s="91" t="n"/>
      <c r="F28" s="91" t="n"/>
      <c r="G28" s="91" t="n"/>
      <c r="H28" s="91" t="n"/>
      <c r="I28" s="91" t="n"/>
      <c r="J28" s="92" t="n"/>
      <c r="K28" s="92" t="n"/>
      <c r="L28" s="93" t="n"/>
      <c r="M28" s="92" t="n"/>
      <c r="N28" s="94" t="n"/>
      <c r="P28" s="95" t="n"/>
      <c r="Q28" s="91" t="n"/>
    </row>
    <row r="29">
      <c r="D29" s="90" t="n"/>
      <c r="E29" s="91" t="n"/>
      <c r="F29" s="91" t="n"/>
      <c r="G29" s="91" t="n"/>
      <c r="H29" s="91" t="n"/>
      <c r="I29" s="91" t="n"/>
      <c r="J29" s="92" t="n"/>
      <c r="K29" s="92" t="n"/>
      <c r="L29" s="93" t="n"/>
      <c r="M29" s="92" t="n"/>
      <c r="N29" s="94" t="n"/>
      <c r="P29" s="95" t="n"/>
      <c r="Q29" s="91" t="n"/>
    </row>
    <row r="30">
      <c r="D30" s="90" t="n"/>
      <c r="E30" s="91" t="n"/>
      <c r="F30" s="91" t="n"/>
      <c r="G30" s="91" t="n"/>
      <c r="H30" s="91" t="n"/>
      <c r="I30" s="91" t="n"/>
      <c r="J30" s="92" t="n"/>
      <c r="K30" s="92" t="n"/>
      <c r="L30" s="93" t="n"/>
      <c r="M30" s="92" t="n"/>
      <c r="N30" s="94" t="n"/>
      <c r="P30" s="95" t="n"/>
      <c r="Q30" s="91" t="n"/>
    </row>
    <row r="31">
      <c r="D31" s="90" t="n"/>
      <c r="E31" s="91" t="n"/>
      <c r="F31" s="91" t="n"/>
      <c r="G31" s="91" t="n"/>
      <c r="H31" s="91" t="n"/>
      <c r="I31" s="91" t="n"/>
      <c r="J31" s="92" t="n"/>
      <c r="K31" s="92" t="n"/>
      <c r="L31" s="93" t="n"/>
      <c r="M31" s="92" t="n"/>
      <c r="N31" s="94" t="n"/>
      <c r="P31" s="95" t="n"/>
      <c r="Q31" s="91" t="n"/>
    </row>
    <row r="32">
      <c r="D32" s="90" t="n"/>
      <c r="E32" s="91" t="n"/>
      <c r="F32" s="91" t="n"/>
      <c r="G32" s="91" t="n"/>
      <c r="H32" s="91" t="n"/>
      <c r="I32" s="91" t="n"/>
      <c r="J32" s="92" t="n"/>
      <c r="K32" s="92" t="n"/>
      <c r="L32" s="93" t="n"/>
      <c r="M32" s="92" t="n"/>
      <c r="N32" s="94" t="n"/>
      <c r="P32" s="95" t="n"/>
      <c r="Q32" s="91" t="n"/>
    </row>
    <row r="33">
      <c r="D33" s="90" t="n"/>
      <c r="E33" s="91" t="n"/>
      <c r="F33" s="91" t="n"/>
      <c r="G33" s="91" t="n"/>
      <c r="H33" s="91" t="n"/>
      <c r="I33" s="91" t="n"/>
      <c r="J33" s="92" t="n"/>
      <c r="K33" s="92" t="n"/>
      <c r="L33" s="93" t="n"/>
      <c r="M33" s="92" t="n"/>
      <c r="N33" s="94" t="n"/>
      <c r="P33" s="95" t="n"/>
      <c r="Q33" s="91" t="n"/>
    </row>
    <row r="34">
      <c r="D34" s="90" t="n"/>
      <c r="E34" s="91" t="n"/>
      <c r="F34" s="91" t="n"/>
      <c r="G34" s="91" t="n"/>
      <c r="H34" s="91" t="n"/>
      <c r="I34" s="91" t="n"/>
      <c r="J34" s="92" t="n"/>
      <c r="K34" s="92" t="n"/>
      <c r="L34" s="93" t="n"/>
      <c r="M34" s="92" t="n"/>
      <c r="N34" s="94" t="n"/>
      <c r="P34" s="95" t="n"/>
      <c r="Q34" s="91" t="n"/>
    </row>
    <row r="35">
      <c r="D35" s="90" t="n"/>
      <c r="E35" s="91" t="n"/>
      <c r="F35" s="91" t="n"/>
      <c r="G35" s="91" t="n"/>
      <c r="H35" s="91" t="n"/>
      <c r="I35" s="91" t="n"/>
      <c r="J35" s="92" t="n"/>
      <c r="K35" s="92" t="n"/>
      <c r="L35" s="93" t="n"/>
      <c r="M35" s="92" t="n"/>
      <c r="N35" s="94" t="n"/>
      <c r="P35" s="95" t="n"/>
      <c r="Q35" s="91" t="n"/>
    </row>
    <row r="36">
      <c r="D36" s="90" t="n"/>
      <c r="E36" s="91" t="n"/>
      <c r="F36" s="91" t="n"/>
      <c r="G36" s="91" t="n"/>
      <c r="H36" s="91" t="n"/>
      <c r="I36" s="91" t="n"/>
      <c r="J36" s="92" t="n"/>
      <c r="K36" s="92" t="n"/>
      <c r="L36" s="93" t="n"/>
      <c r="M36" s="92" t="n"/>
      <c r="N36" s="94" t="n"/>
      <c r="P36" s="95" t="n"/>
      <c r="Q36" s="91" t="n"/>
    </row>
    <row r="37">
      <c r="D37" s="90" t="n"/>
      <c r="E37" s="91" t="n"/>
      <c r="F37" s="91" t="n"/>
      <c r="G37" s="91" t="n"/>
      <c r="H37" s="91" t="n"/>
      <c r="I37" s="91" t="n"/>
      <c r="J37" s="92" t="n"/>
      <c r="K37" s="92" t="n"/>
      <c r="L37" s="93" t="n"/>
      <c r="M37" s="92" t="n"/>
      <c r="N37" s="94" t="n"/>
      <c r="P37" s="95" t="n"/>
      <c r="Q37" s="91" t="n"/>
    </row>
    <row r="38">
      <c r="D38" s="90" t="n"/>
      <c r="E38" s="91" t="n"/>
      <c r="F38" s="91" t="n"/>
      <c r="G38" s="91" t="n"/>
      <c r="H38" s="91" t="n"/>
      <c r="I38" s="91" t="n"/>
      <c r="J38" s="92" t="n"/>
      <c r="K38" s="92" t="n"/>
      <c r="L38" s="93" t="n"/>
      <c r="M38" s="92" t="n"/>
      <c r="N38" s="94" t="n"/>
      <c r="P38" s="95" t="n"/>
      <c r="Q38" s="91" t="n"/>
    </row>
    <row r="39">
      <c r="D39" s="90" t="n"/>
      <c r="E39" s="91" t="n"/>
      <c r="F39" s="91" t="n"/>
      <c r="G39" s="91" t="n"/>
      <c r="H39" s="91" t="n"/>
      <c r="I39" s="91" t="n"/>
      <c r="J39" s="92" t="n"/>
      <c r="K39" s="92" t="n"/>
      <c r="L39" s="93" t="n"/>
      <c r="M39" s="92" t="n"/>
      <c r="N39" s="94" t="n"/>
      <c r="P39" s="95" t="n"/>
      <c r="Q39" s="91" t="n"/>
    </row>
    <row r="40">
      <c r="D40" s="90" t="n"/>
      <c r="E40" s="91" t="n"/>
      <c r="F40" s="91" t="n"/>
      <c r="G40" s="91" t="n"/>
      <c r="H40" s="91" t="n"/>
      <c r="I40" s="91" t="n"/>
      <c r="J40" s="92" t="n"/>
      <c r="K40" s="92" t="n"/>
      <c r="L40" s="93" t="n"/>
      <c r="M40" s="92" t="n"/>
      <c r="N40" s="94" t="n"/>
      <c r="P40" s="95" t="n"/>
      <c r="Q40" s="91" t="n"/>
    </row>
    <row r="41">
      <c r="D41" s="90" t="n"/>
      <c r="E41" s="91" t="n"/>
      <c r="F41" s="91" t="n"/>
      <c r="G41" s="91" t="n"/>
      <c r="H41" s="91" t="n"/>
      <c r="I41" s="91" t="n"/>
      <c r="J41" s="92" t="n"/>
      <c r="K41" s="92" t="n"/>
      <c r="L41" s="93" t="n"/>
      <c r="M41" s="92" t="n"/>
      <c r="N41" s="94" t="n"/>
      <c r="P41" s="95" t="n"/>
      <c r="Q41" s="91" t="n"/>
    </row>
    <row r="42">
      <c r="D42" s="90" t="n"/>
      <c r="E42" s="91" t="n"/>
      <c r="F42" s="91" t="n"/>
      <c r="G42" s="91" t="n"/>
      <c r="H42" s="91" t="n"/>
      <c r="I42" s="91" t="n"/>
      <c r="J42" s="92" t="n"/>
      <c r="K42" s="92" t="n"/>
      <c r="L42" s="93" t="n"/>
      <c r="M42" s="92" t="n"/>
      <c r="N42" s="94" t="n"/>
      <c r="P42" s="95" t="n"/>
      <c r="Q42" s="91" t="n"/>
    </row>
    <row r="43">
      <c r="D43" s="90" t="n"/>
      <c r="E43" s="91" t="n"/>
      <c r="F43" s="91" t="n"/>
      <c r="G43" s="91" t="n"/>
      <c r="H43" s="91" t="n"/>
      <c r="I43" s="91" t="n"/>
      <c r="J43" s="92" t="n"/>
      <c r="K43" s="92" t="n"/>
      <c r="L43" s="93" t="n"/>
      <c r="M43" s="92" t="n"/>
      <c r="N43" s="94" t="n"/>
      <c r="P43" s="95" t="n"/>
      <c r="Q43" s="91" t="n"/>
    </row>
    <row r="44">
      <c r="D44" s="90" t="n"/>
      <c r="E44" s="91" t="n"/>
      <c r="F44" s="91" t="n"/>
      <c r="G44" s="91" t="n"/>
      <c r="H44" s="91" t="n"/>
      <c r="I44" s="91" t="n"/>
      <c r="J44" s="92" t="n"/>
      <c r="K44" s="92" t="n"/>
      <c r="L44" s="93" t="n"/>
      <c r="M44" s="92" t="n"/>
      <c r="N44" s="94" t="n"/>
      <c r="P44" s="95" t="n"/>
      <c r="Q44" s="91" t="n"/>
    </row>
    <row r="45">
      <c r="D45" s="90" t="n"/>
      <c r="E45" s="91" t="n"/>
      <c r="F45" s="91" t="n"/>
      <c r="G45" s="91" t="n"/>
      <c r="H45" s="91" t="n"/>
      <c r="I45" s="91" t="n"/>
      <c r="J45" s="92" t="n"/>
      <c r="K45" s="92" t="n"/>
      <c r="L45" s="93" t="n"/>
      <c r="M45" s="92" t="n"/>
      <c r="N45" s="94" t="n"/>
      <c r="P45" s="95" t="n"/>
      <c r="Q45" s="91" t="n"/>
    </row>
    <row r="46">
      <c r="D46" s="90" t="n"/>
      <c r="E46" s="91" t="n"/>
      <c r="F46" s="91" t="n"/>
      <c r="G46" s="91" t="n"/>
      <c r="H46" s="91" t="n"/>
      <c r="I46" s="91" t="n"/>
      <c r="J46" s="92" t="n"/>
      <c r="K46" s="92" t="n"/>
      <c r="L46" s="93" t="n"/>
      <c r="M46" s="92" t="n"/>
      <c r="N46" s="94" t="n"/>
      <c r="P46" s="95" t="n"/>
      <c r="Q46" s="91" t="n"/>
    </row>
    <row r="47">
      <c r="D47" s="90" t="n"/>
      <c r="E47" s="91" t="n"/>
      <c r="F47" s="91" t="n"/>
      <c r="G47" s="91" t="n"/>
      <c r="H47" s="91" t="n"/>
      <c r="I47" s="91" t="n"/>
      <c r="J47" s="92" t="n"/>
      <c r="K47" s="92" t="n"/>
      <c r="L47" s="93" t="n"/>
      <c r="M47" s="92" t="n"/>
      <c r="N47" s="94" t="n"/>
      <c r="P47" s="95" t="n"/>
      <c r="Q47" s="91" t="n"/>
    </row>
    <row r="48">
      <c r="D48" s="90" t="n"/>
      <c r="E48" s="91" t="n"/>
      <c r="F48" s="91" t="n"/>
      <c r="G48" s="91" t="n"/>
      <c r="H48" s="91" t="n"/>
      <c r="I48" s="91" t="n"/>
      <c r="J48" s="92" t="n"/>
      <c r="K48" s="92" t="n"/>
      <c r="L48" s="93" t="n"/>
      <c r="M48" s="92" t="n"/>
      <c r="N48" s="94" t="n"/>
      <c r="P48" s="95" t="n"/>
      <c r="Q48" s="91" t="n"/>
    </row>
    <row r="49">
      <c r="D49" s="90" t="n"/>
      <c r="E49" s="91" t="n"/>
      <c r="F49" s="91" t="n"/>
      <c r="G49" s="91" t="n"/>
      <c r="H49" s="91" t="n"/>
      <c r="I49" s="91" t="n"/>
      <c r="J49" s="92" t="n"/>
      <c r="K49" s="92" t="n"/>
      <c r="L49" s="93" t="n"/>
      <c r="M49" s="92" t="n"/>
      <c r="N49" s="94" t="n"/>
      <c r="P49" s="95" t="n"/>
      <c r="Q49" s="91" t="n"/>
    </row>
    <row r="50">
      <c r="D50" s="90" t="n"/>
      <c r="E50" s="91" t="n"/>
      <c r="F50" s="91" t="n"/>
      <c r="G50" s="91" t="n"/>
      <c r="H50" s="91" t="n"/>
      <c r="I50" s="91" t="n"/>
      <c r="J50" s="92" t="n"/>
      <c r="K50" s="92" t="n"/>
      <c r="L50" s="93" t="n"/>
      <c r="M50" s="92" t="n"/>
      <c r="N50" s="94" t="n"/>
      <c r="P50" s="95" t="n"/>
      <c r="Q50" s="91" t="n"/>
    </row>
    <row r="51">
      <c r="D51" s="90" t="n"/>
      <c r="E51" s="91" t="n"/>
      <c r="F51" s="91" t="n"/>
      <c r="G51" s="91" t="n"/>
      <c r="H51" s="91" t="n"/>
      <c r="I51" s="91" t="n"/>
      <c r="J51" s="92" t="n"/>
      <c r="K51" s="92" t="n"/>
      <c r="L51" s="93" t="n"/>
      <c r="M51" s="92" t="n"/>
      <c r="N51" s="94" t="n"/>
      <c r="P51" s="95" t="n"/>
      <c r="Q51" s="91" t="n"/>
    </row>
    <row r="52">
      <c r="D52" s="90" t="n"/>
      <c r="E52" s="91" t="n"/>
      <c r="F52" s="91" t="n"/>
      <c r="G52" s="91" t="n"/>
      <c r="H52" s="91" t="n"/>
      <c r="I52" s="91" t="n"/>
      <c r="J52" s="92" t="n"/>
      <c r="K52" s="92" t="n"/>
      <c r="L52" s="93" t="n"/>
      <c r="M52" s="92" t="n"/>
      <c r="N52" s="94" t="n"/>
      <c r="P52" s="95" t="n"/>
      <c r="Q52" s="91" t="n"/>
    </row>
    <row r="53">
      <c r="D53" s="90" t="n"/>
      <c r="E53" s="91" t="n"/>
      <c r="F53" s="91" t="n"/>
      <c r="G53" s="91" t="n"/>
      <c r="H53" s="91" t="n"/>
      <c r="I53" s="91" t="n"/>
      <c r="J53" s="92" t="n"/>
      <c r="K53" s="92" t="n"/>
      <c r="L53" s="93" t="n"/>
      <c r="M53" s="92" t="n"/>
      <c r="N53" s="94" t="n"/>
      <c r="P53" s="95" t="n"/>
      <c r="Q53" s="91" t="n"/>
    </row>
    <row r="54">
      <c r="D54" s="90" t="n"/>
      <c r="E54" s="91" t="n"/>
      <c r="F54" s="91" t="n"/>
      <c r="G54" s="91" t="n"/>
      <c r="H54" s="91" t="n"/>
      <c r="I54" s="91" t="n"/>
      <c r="J54" s="92" t="n"/>
      <c r="K54" s="92" t="n"/>
      <c r="L54" s="93" t="n"/>
      <c r="M54" s="92" t="n"/>
      <c r="N54" s="94" t="n"/>
      <c r="P54" s="95" t="n"/>
      <c r="Q54" s="91" t="n"/>
    </row>
    <row r="55">
      <c r="D55" s="90" t="n"/>
      <c r="E55" s="91" t="n"/>
      <c r="F55" s="91" t="n"/>
      <c r="G55" s="91" t="n"/>
      <c r="H55" s="91" t="n"/>
      <c r="I55" s="91" t="n"/>
      <c r="J55" s="92" t="n"/>
      <c r="K55" s="92" t="n"/>
      <c r="L55" s="93" t="n"/>
      <c r="M55" s="92" t="n"/>
      <c r="N55" s="94" t="n"/>
      <c r="P55" s="95" t="n"/>
      <c r="Q55" s="91" t="n"/>
    </row>
    <row r="56">
      <c r="D56" s="90" t="n"/>
      <c r="E56" s="91" t="n"/>
      <c r="F56" s="91" t="n"/>
      <c r="G56" s="91" t="n"/>
      <c r="H56" s="91" t="n"/>
      <c r="I56" s="91" t="n"/>
      <c r="J56" s="92" t="n"/>
      <c r="K56" s="92" t="n"/>
      <c r="L56" s="93" t="n"/>
      <c r="M56" s="92" t="n"/>
      <c r="N56" s="94" t="n"/>
      <c r="P56" s="95" t="n"/>
      <c r="Q56" s="91" t="n"/>
    </row>
    <row r="57">
      <c r="D57" s="90" t="n"/>
      <c r="E57" s="91" t="n"/>
      <c r="F57" s="91" t="n"/>
      <c r="G57" s="91" t="n"/>
      <c r="H57" s="91" t="n"/>
      <c r="I57" s="91" t="n"/>
      <c r="J57" s="92" t="n"/>
      <c r="K57" s="92" t="n"/>
      <c r="L57" s="93" t="n"/>
      <c r="M57" s="92" t="n"/>
      <c r="N57" s="94" t="n"/>
      <c r="P57" s="95" t="n"/>
      <c r="Q57" s="91" t="n"/>
    </row>
    <row r="58">
      <c r="D58" s="90" t="n"/>
      <c r="E58" s="91" t="n"/>
      <c r="F58" s="91" t="n"/>
      <c r="G58" s="91" t="n"/>
      <c r="H58" s="91" t="n"/>
      <c r="I58" s="91" t="n"/>
      <c r="J58" s="92" t="n"/>
      <c r="K58" s="92" t="n"/>
      <c r="L58" s="93" t="n"/>
      <c r="M58" s="92" t="n"/>
      <c r="N58" s="94" t="n"/>
      <c r="P58" s="95" t="n"/>
      <c r="Q58" s="91" t="n"/>
    </row>
    <row r="59">
      <c r="D59" s="90" t="n"/>
      <c r="E59" s="91" t="n"/>
      <c r="F59" s="91" t="n"/>
      <c r="G59" s="91" t="n"/>
      <c r="H59" s="91" t="n"/>
      <c r="I59" s="91" t="n"/>
      <c r="J59" s="92" t="n"/>
      <c r="K59" s="92" t="n"/>
      <c r="L59" s="93" t="n"/>
      <c r="M59" s="92" t="n"/>
      <c r="N59" s="94" t="n"/>
      <c r="P59" s="95" t="n"/>
      <c r="Q59" s="91" t="n"/>
    </row>
    <row r="60">
      <c r="D60" s="90" t="n"/>
      <c r="E60" s="91" t="n"/>
      <c r="F60" s="91" t="n"/>
      <c r="G60" s="91" t="n"/>
      <c r="H60" s="91" t="n"/>
      <c r="I60" s="91" t="n"/>
      <c r="J60" s="92" t="n"/>
      <c r="K60" s="92" t="n"/>
      <c r="L60" s="93" t="n"/>
      <c r="M60" s="92" t="n"/>
      <c r="N60" s="94" t="n"/>
      <c r="P60" s="95" t="n"/>
      <c r="Q60" s="91" t="n"/>
    </row>
    <row r="61">
      <c r="D61" s="90" t="n"/>
      <c r="E61" s="91" t="n"/>
      <c r="F61" s="91" t="n"/>
      <c r="G61" s="91" t="n"/>
      <c r="H61" s="91" t="n"/>
      <c r="I61" s="91" t="n"/>
      <c r="J61" s="92" t="n"/>
      <c r="K61" s="92" t="n"/>
      <c r="L61" s="93" t="n"/>
      <c r="M61" s="92" t="n"/>
      <c r="N61" s="94" t="n"/>
      <c r="P61" s="95" t="n"/>
      <c r="Q61" s="91" t="n"/>
    </row>
    <row r="62">
      <c r="D62" s="90" t="n"/>
      <c r="E62" s="91" t="n"/>
      <c r="F62" s="91" t="n"/>
      <c r="G62" s="91" t="n"/>
      <c r="H62" s="91" t="n"/>
      <c r="I62" s="91" t="n"/>
      <c r="J62" s="92" t="n"/>
      <c r="K62" s="92" t="n"/>
      <c r="L62" s="93" t="n"/>
      <c r="M62" s="92" t="n"/>
      <c r="N62" s="94" t="n"/>
      <c r="P62" s="95" t="n"/>
      <c r="Q62" s="91" t="n"/>
    </row>
    <row r="63">
      <c r="D63" s="90" t="n"/>
      <c r="E63" s="91" t="n"/>
      <c r="F63" s="91" t="n"/>
      <c r="G63" s="91" t="n"/>
      <c r="H63" s="91" t="n"/>
      <c r="I63" s="91" t="n"/>
      <c r="J63" s="92" t="n"/>
      <c r="K63" s="92" t="n"/>
      <c r="L63" s="93" t="n"/>
      <c r="M63" s="92" t="n"/>
      <c r="N63" s="94" t="n"/>
      <c r="P63" s="95" t="n"/>
      <c r="Q63" s="91" t="n"/>
    </row>
    <row r="64">
      <c r="D64" s="90" t="n"/>
      <c r="E64" s="91" t="n"/>
      <c r="F64" s="91" t="n"/>
      <c r="G64" s="91" t="n"/>
      <c r="H64" s="91" t="n"/>
      <c r="I64" s="91" t="n"/>
      <c r="J64" s="92" t="n"/>
      <c r="K64" s="92" t="n"/>
      <c r="L64" s="93" t="n"/>
      <c r="M64" s="92" t="n"/>
      <c r="N64" s="94" t="n"/>
      <c r="P64" s="95" t="n"/>
      <c r="Q64" s="91" t="n"/>
    </row>
    <row r="65">
      <c r="D65" s="90" t="n"/>
      <c r="E65" s="91" t="n"/>
      <c r="F65" s="91" t="n"/>
      <c r="G65" s="91" t="n"/>
      <c r="H65" s="91" t="n"/>
      <c r="I65" s="91" t="n"/>
      <c r="J65" s="92" t="n"/>
      <c r="K65" s="92" t="n"/>
      <c r="L65" s="93" t="n"/>
      <c r="M65" s="92" t="n"/>
      <c r="N65" s="94" t="n"/>
      <c r="P65" s="95" t="n"/>
      <c r="Q65" s="91" t="n"/>
    </row>
    <row r="66">
      <c r="D66" s="90" t="n"/>
      <c r="E66" s="91" t="n"/>
      <c r="F66" s="91" t="n"/>
      <c r="G66" s="91" t="n"/>
      <c r="H66" s="91" t="n"/>
      <c r="I66" s="91" t="n"/>
      <c r="J66" s="92" t="n"/>
      <c r="K66" s="92" t="n"/>
      <c r="L66" s="93" t="n"/>
      <c r="M66" s="92" t="n"/>
      <c r="N66" s="94" t="n"/>
      <c r="P66" s="95" t="n"/>
      <c r="Q66" s="91" t="n"/>
    </row>
    <row r="67">
      <c r="D67" s="90" t="n"/>
      <c r="E67" s="91" t="n"/>
      <c r="F67" s="91" t="n"/>
      <c r="G67" s="91" t="n"/>
      <c r="H67" s="91" t="n"/>
      <c r="I67" s="91" t="n"/>
      <c r="J67" s="92" t="n"/>
      <c r="K67" s="92" t="n"/>
      <c r="L67" s="93" t="n"/>
      <c r="M67" s="92" t="n"/>
      <c r="N67" s="94" t="n"/>
      <c r="P67" s="95" t="n"/>
      <c r="Q67" s="91" t="n"/>
    </row>
    <row r="68">
      <c r="D68" s="90" t="n"/>
      <c r="E68" s="91" t="n"/>
      <c r="F68" s="91" t="n"/>
      <c r="G68" s="91" t="n"/>
      <c r="H68" s="91" t="n"/>
      <c r="I68" s="91" t="n"/>
      <c r="J68" s="92" t="n"/>
      <c r="K68" s="92" t="n"/>
      <c r="L68" s="93" t="n"/>
      <c r="M68" s="92" t="n"/>
      <c r="N68" s="94" t="n"/>
      <c r="P68" s="95" t="n"/>
      <c r="Q68" s="91" t="n"/>
    </row>
    <row r="69">
      <c r="D69" s="90" t="n"/>
      <c r="E69" s="91" t="n"/>
      <c r="F69" s="91" t="n"/>
      <c r="G69" s="91" t="n"/>
      <c r="H69" s="91" t="n"/>
      <c r="I69" s="91" t="n"/>
      <c r="J69" s="92" t="n"/>
      <c r="K69" s="92" t="n"/>
      <c r="L69" s="93" t="n"/>
      <c r="M69" s="92" t="n"/>
      <c r="N69" s="94" t="n"/>
      <c r="P69" s="95" t="n"/>
      <c r="Q69" s="91" t="n"/>
    </row>
    <row r="70">
      <c r="D70" s="90" t="n"/>
      <c r="E70" s="91" t="n"/>
      <c r="F70" s="91" t="n"/>
      <c r="G70" s="91" t="n"/>
      <c r="H70" s="91" t="n"/>
      <c r="I70" s="91" t="n"/>
      <c r="J70" s="92" t="n"/>
      <c r="K70" s="92" t="n"/>
      <c r="L70" s="93" t="n"/>
      <c r="M70" s="92" t="n"/>
      <c r="N70" s="94" t="n"/>
      <c r="P70" s="95" t="n"/>
      <c r="Q70" s="91" t="n"/>
    </row>
    <row r="71">
      <c r="D71" s="90" t="n"/>
      <c r="E71" s="91" t="n"/>
      <c r="F71" s="91" t="n"/>
      <c r="G71" s="91" t="n"/>
      <c r="H71" s="91" t="n"/>
      <c r="I71" s="91" t="n"/>
      <c r="J71" s="92" t="n"/>
      <c r="K71" s="92" t="n"/>
      <c r="L71" s="93" t="n"/>
      <c r="M71" s="92" t="n"/>
      <c r="N71" s="94" t="n"/>
      <c r="P71" s="95" t="n"/>
      <c r="Q71" s="91" t="n"/>
    </row>
    <row r="72">
      <c r="D72" s="90" t="n"/>
      <c r="E72" s="91" t="n"/>
      <c r="F72" s="91" t="n"/>
      <c r="G72" s="91" t="n"/>
      <c r="H72" s="91" t="n"/>
      <c r="I72" s="91" t="n"/>
      <c r="J72" s="92" t="n"/>
      <c r="K72" s="92" t="n"/>
      <c r="L72" s="93" t="n"/>
      <c r="M72" s="92" t="n"/>
      <c r="N72" s="94" t="n"/>
      <c r="P72" s="95" t="n"/>
      <c r="Q72" s="91" t="n"/>
    </row>
    <row r="73">
      <c r="D73" s="90" t="n"/>
      <c r="E73" s="91" t="n"/>
      <c r="F73" s="91" t="n"/>
      <c r="G73" s="91" t="n"/>
      <c r="H73" s="91" t="n"/>
      <c r="I73" s="91" t="n"/>
      <c r="J73" s="92" t="n"/>
      <c r="K73" s="92" t="n"/>
      <c r="L73" s="93" t="n"/>
      <c r="M73" s="92" t="n"/>
      <c r="N73" s="94" t="n"/>
      <c r="P73" s="95" t="n"/>
      <c r="Q73" s="91" t="n"/>
    </row>
    <row r="74">
      <c r="D74" s="90" t="n"/>
      <c r="E74" s="91" t="n"/>
      <c r="F74" s="91" t="n"/>
      <c r="G74" s="91" t="n"/>
      <c r="H74" s="91" t="n"/>
      <c r="I74" s="91" t="n"/>
      <c r="J74" s="92" t="n"/>
      <c r="K74" s="92" t="n"/>
      <c r="L74" s="93" t="n"/>
      <c r="M74" s="92" t="n"/>
      <c r="N74" s="94" t="n"/>
      <c r="P74" s="95" t="n"/>
      <c r="Q74" s="91" t="n"/>
    </row>
    <row r="75">
      <c r="D75" s="90" t="n"/>
      <c r="E75" s="91" t="n"/>
      <c r="F75" s="91" t="n"/>
      <c r="G75" s="91" t="n"/>
      <c r="H75" s="91" t="n"/>
      <c r="I75" s="91" t="n"/>
      <c r="J75" s="92" t="n"/>
      <c r="K75" s="92" t="n"/>
      <c r="L75" s="93" t="n"/>
      <c r="M75" s="92" t="n"/>
      <c r="N75" s="94" t="n"/>
      <c r="P75" s="95" t="n"/>
      <c r="Q75" s="91" t="n"/>
    </row>
    <row r="76">
      <c r="D76" s="90" t="n"/>
      <c r="E76" s="91" t="n"/>
      <c r="F76" s="91" t="n"/>
      <c r="G76" s="91" t="n"/>
      <c r="H76" s="91" t="n"/>
      <c r="I76" s="91" t="n"/>
      <c r="J76" s="92" t="n"/>
      <c r="K76" s="92" t="n"/>
      <c r="L76" s="93" t="n"/>
      <c r="M76" s="92" t="n"/>
      <c r="N76" s="94" t="n"/>
      <c r="P76" s="95" t="n"/>
      <c r="Q76" s="91" t="n"/>
    </row>
    <row r="77">
      <c r="D77" s="90" t="n"/>
      <c r="E77" s="91" t="n"/>
      <c r="F77" s="91" t="n"/>
      <c r="G77" s="91" t="n"/>
      <c r="H77" s="91" t="n"/>
      <c r="I77" s="91" t="n"/>
      <c r="J77" s="92" t="n"/>
      <c r="K77" s="92" t="n"/>
      <c r="L77" s="93" t="n"/>
      <c r="M77" s="92" t="n"/>
      <c r="N77" s="94" t="n"/>
      <c r="P77" s="95" t="n"/>
      <c r="Q77" s="91" t="n"/>
    </row>
    <row r="78">
      <c r="D78" s="90" t="n"/>
      <c r="E78" s="91" t="n"/>
      <c r="F78" s="91" t="n"/>
      <c r="G78" s="91" t="n"/>
      <c r="H78" s="91" t="n"/>
      <c r="I78" s="91" t="n"/>
      <c r="J78" s="92" t="n"/>
      <c r="K78" s="92" t="n"/>
      <c r="L78" s="93" t="n"/>
      <c r="M78" s="92" t="n"/>
      <c r="N78" s="94" t="n"/>
      <c r="P78" s="95" t="n"/>
      <c r="Q78" s="91" t="n"/>
    </row>
    <row r="79">
      <c r="D79" s="90" t="n"/>
      <c r="E79" s="91" t="n"/>
      <c r="F79" s="91" t="n"/>
      <c r="G79" s="91" t="n"/>
      <c r="H79" s="91" t="n"/>
      <c r="I79" s="91" t="n"/>
      <c r="J79" s="92" t="n"/>
      <c r="K79" s="92" t="n"/>
      <c r="L79" s="93" t="n"/>
      <c r="M79" s="92" t="n"/>
      <c r="N79" s="94" t="n"/>
      <c r="P79" s="95" t="n"/>
      <c r="Q79" s="91" t="n"/>
    </row>
    <row r="80">
      <c r="D80" s="90" t="n"/>
      <c r="E80" s="91" t="n"/>
      <c r="F80" s="91" t="n"/>
      <c r="G80" s="91" t="n"/>
      <c r="H80" s="91" t="n"/>
      <c r="I80" s="91" t="n"/>
      <c r="J80" s="92" t="n"/>
      <c r="K80" s="92" t="n"/>
      <c r="L80" s="93" t="n"/>
      <c r="M80" s="92" t="n"/>
      <c r="N80" s="94" t="n"/>
      <c r="P80" s="95" t="n"/>
      <c r="Q80" s="91" t="n"/>
    </row>
    <row r="81">
      <c r="D81" s="90" t="n"/>
      <c r="E81" s="91" t="n"/>
      <c r="F81" s="91" t="n"/>
      <c r="G81" s="91" t="n"/>
      <c r="H81" s="91" t="n"/>
      <c r="I81" s="91" t="n"/>
      <c r="J81" s="92" t="n"/>
      <c r="K81" s="92" t="n"/>
      <c r="L81" s="93" t="n"/>
      <c r="M81" s="92" t="n"/>
      <c r="N81" s="94" t="n"/>
      <c r="P81" s="95" t="n"/>
      <c r="Q81" s="91" t="n"/>
    </row>
    <row r="82">
      <c r="D82" s="90" t="n"/>
      <c r="E82" s="91" t="n"/>
      <c r="F82" s="91" t="n"/>
      <c r="G82" s="91" t="n"/>
      <c r="H82" s="91" t="n"/>
      <c r="I82" s="91" t="n"/>
      <c r="J82" s="92" t="n"/>
      <c r="K82" s="92" t="n"/>
      <c r="L82" s="93" t="n"/>
      <c r="M82" s="92" t="n"/>
      <c r="N82" s="94" t="n"/>
      <c r="P82" s="95" t="n"/>
      <c r="Q82" s="91" t="n"/>
    </row>
    <row r="83">
      <c r="D83" s="90" t="n"/>
      <c r="E83" s="91" t="n"/>
      <c r="F83" s="91" t="n"/>
      <c r="G83" s="91" t="n"/>
      <c r="H83" s="91" t="n"/>
      <c r="I83" s="91" t="n"/>
      <c r="J83" s="92" t="n"/>
      <c r="K83" s="92" t="n"/>
      <c r="L83" s="93" t="n"/>
      <c r="M83" s="92" t="n"/>
      <c r="N83" s="94" t="n"/>
      <c r="P83" s="95" t="n"/>
      <c r="Q83" s="91" t="n"/>
    </row>
    <row r="84">
      <c r="D84" s="90" t="n"/>
      <c r="E84" s="91" t="n"/>
      <c r="F84" s="91" t="n"/>
      <c r="G84" s="91" t="n"/>
      <c r="H84" s="91" t="n"/>
      <c r="I84" s="91" t="n"/>
      <c r="J84" s="92" t="n"/>
      <c r="K84" s="92" t="n"/>
      <c r="L84" s="93" t="n"/>
      <c r="M84" s="92" t="n"/>
      <c r="N84" s="94" t="n"/>
      <c r="P84" s="95" t="n"/>
      <c r="Q84" s="91" t="n"/>
    </row>
    <row r="85">
      <c r="D85" s="90" t="n"/>
      <c r="E85" s="91" t="n"/>
      <c r="F85" s="91" t="n"/>
      <c r="G85" s="91" t="n"/>
      <c r="H85" s="91" t="n"/>
      <c r="I85" s="91" t="n"/>
      <c r="J85" s="92" t="n"/>
      <c r="K85" s="92" t="n"/>
      <c r="L85" s="93" t="n"/>
      <c r="M85" s="92" t="n"/>
      <c r="N85" s="94" t="n"/>
      <c r="P85" s="95" t="n"/>
      <c r="Q85" s="91" t="n"/>
    </row>
    <row r="86">
      <c r="D86" s="90" t="n"/>
      <c r="E86" s="91" t="n"/>
      <c r="F86" s="91" t="n"/>
      <c r="G86" s="91" t="n"/>
      <c r="H86" s="91" t="n"/>
      <c r="I86" s="91" t="n"/>
      <c r="J86" s="92" t="n"/>
      <c r="K86" s="92" t="n"/>
      <c r="L86" s="93" t="n"/>
      <c r="M86" s="92" t="n"/>
      <c r="N86" s="94" t="n"/>
      <c r="P86" s="95" t="n"/>
      <c r="Q86" s="91" t="n"/>
    </row>
    <row r="87">
      <c r="D87" s="90" t="n"/>
      <c r="E87" s="91" t="n"/>
      <c r="F87" s="91" t="n"/>
      <c r="G87" s="91" t="n"/>
      <c r="H87" s="91" t="n"/>
      <c r="I87" s="91" t="n"/>
      <c r="J87" s="92" t="n"/>
      <c r="K87" s="92" t="n"/>
      <c r="L87" s="93" t="n"/>
      <c r="M87" s="92" t="n"/>
      <c r="N87" s="94" t="n"/>
      <c r="P87" s="95" t="n"/>
      <c r="Q87" s="91" t="n"/>
    </row>
    <row r="88">
      <c r="D88" s="90" t="n"/>
      <c r="E88" s="91" t="n"/>
      <c r="F88" s="91" t="n"/>
      <c r="G88" s="91" t="n"/>
      <c r="H88" s="91" t="n"/>
      <c r="I88" s="91" t="n"/>
      <c r="J88" s="92" t="n"/>
      <c r="K88" s="92" t="n"/>
      <c r="L88" s="93" t="n"/>
      <c r="M88" s="92" t="n"/>
      <c r="N88" s="94" t="n"/>
      <c r="P88" s="95" t="n"/>
      <c r="Q88" s="91" t="n"/>
    </row>
    <row r="89">
      <c r="D89" s="90" t="n"/>
      <c r="E89" s="91" t="n"/>
      <c r="F89" s="91" t="n"/>
      <c r="G89" s="91" t="n"/>
      <c r="H89" s="91" t="n"/>
      <c r="I89" s="91" t="n"/>
      <c r="J89" s="92" t="n"/>
      <c r="K89" s="92" t="n"/>
      <c r="L89" s="93" t="n"/>
      <c r="M89" s="92" t="n"/>
      <c r="N89" s="94" t="n"/>
      <c r="P89" s="95" t="n"/>
      <c r="Q89" s="91" t="n"/>
    </row>
    <row r="90">
      <c r="D90" s="90" t="n"/>
      <c r="E90" s="91" t="n"/>
      <c r="F90" s="91" t="n"/>
      <c r="G90" s="91" t="n"/>
      <c r="H90" s="91" t="n"/>
      <c r="I90" s="91" t="n"/>
      <c r="J90" s="92" t="n"/>
      <c r="K90" s="92" t="n"/>
      <c r="L90" s="93" t="n"/>
      <c r="M90" s="92" t="n"/>
      <c r="N90" s="94" t="n"/>
      <c r="P90" s="95" t="n"/>
      <c r="Q90" s="91" t="n"/>
    </row>
    <row r="91">
      <c r="D91" s="90" t="n"/>
      <c r="E91" s="91" t="n"/>
      <c r="F91" s="91" t="n"/>
      <c r="G91" s="91" t="n"/>
      <c r="H91" s="91" t="n"/>
      <c r="I91" s="91" t="n"/>
      <c r="J91" s="92" t="n"/>
      <c r="K91" s="92" t="n"/>
      <c r="L91" s="93" t="n"/>
      <c r="M91" s="92" t="n"/>
      <c r="N91" s="94" t="n"/>
      <c r="P91" s="95" t="n"/>
      <c r="Q91" s="91" t="n"/>
    </row>
    <row r="92">
      <c r="D92" s="90" t="n"/>
      <c r="E92" s="91" t="n"/>
      <c r="F92" s="91" t="n"/>
      <c r="G92" s="91" t="n"/>
      <c r="H92" s="91" t="n"/>
      <c r="I92" s="91" t="n"/>
      <c r="J92" s="92" t="n"/>
      <c r="K92" s="92" t="n"/>
      <c r="L92" s="93" t="n"/>
      <c r="M92" s="92" t="n"/>
      <c r="N92" s="94" t="n"/>
      <c r="P92" s="95" t="n"/>
      <c r="Q92" s="91" t="n"/>
    </row>
    <row r="93">
      <c r="D93" s="90" t="n"/>
      <c r="E93" s="91" t="n"/>
      <c r="F93" s="91" t="n"/>
      <c r="G93" s="91" t="n"/>
      <c r="H93" s="91" t="n"/>
      <c r="I93" s="91" t="n"/>
      <c r="J93" s="92" t="n"/>
      <c r="K93" s="92" t="n"/>
      <c r="L93" s="93" t="n"/>
      <c r="M93" s="92" t="n"/>
      <c r="N93" s="94" t="n"/>
      <c r="P93" s="95" t="n"/>
      <c r="Q93" s="91" t="n"/>
    </row>
    <row r="94">
      <c r="D94" s="90" t="n"/>
      <c r="E94" s="91" t="n"/>
      <c r="F94" s="91" t="n"/>
      <c r="G94" s="91" t="n"/>
      <c r="H94" s="91" t="n"/>
      <c r="I94" s="91" t="n"/>
      <c r="J94" s="92" t="n"/>
      <c r="K94" s="92" t="n"/>
      <c r="L94" s="93" t="n"/>
      <c r="M94" s="92" t="n"/>
      <c r="N94" s="94" t="n"/>
      <c r="P94" s="95" t="n"/>
      <c r="Q94" s="91" t="n"/>
    </row>
    <row r="95">
      <c r="D95" s="90" t="n"/>
      <c r="E95" s="91" t="n"/>
      <c r="F95" s="91" t="n"/>
      <c r="G95" s="91" t="n"/>
      <c r="H95" s="91" t="n"/>
      <c r="I95" s="91" t="n"/>
      <c r="J95" s="92" t="n"/>
      <c r="K95" s="92" t="n"/>
      <c r="L95" s="93" t="n"/>
      <c r="M95" s="92" t="n"/>
      <c r="N95" s="94" t="n"/>
      <c r="P95" s="95" t="n"/>
      <c r="Q95" s="91" t="n"/>
    </row>
    <row r="96">
      <c r="D96" s="90" t="n"/>
      <c r="E96" s="91" t="n"/>
      <c r="F96" s="91" t="n"/>
      <c r="G96" s="91" t="n"/>
      <c r="H96" s="91" t="n"/>
      <c r="I96" s="91" t="n"/>
      <c r="J96" s="92" t="n"/>
      <c r="K96" s="92" t="n"/>
      <c r="L96" s="93" t="n"/>
      <c r="M96" s="92" t="n"/>
      <c r="N96" s="94" t="n"/>
      <c r="P96" s="95" t="n"/>
      <c r="Q96" s="91" t="n"/>
    </row>
    <row r="97">
      <c r="D97" s="90" t="n"/>
      <c r="E97" s="91" t="n"/>
      <c r="F97" s="91" t="n"/>
      <c r="G97" s="91" t="n"/>
      <c r="H97" s="91" t="n"/>
      <c r="I97" s="91" t="n"/>
      <c r="J97" s="92" t="n"/>
      <c r="K97" s="92" t="n"/>
      <c r="L97" s="93" t="n"/>
      <c r="M97" s="92" t="n"/>
      <c r="N97" s="94" t="n"/>
      <c r="P97" s="95" t="n"/>
      <c r="Q97" s="91" t="n"/>
    </row>
    <row r="98">
      <c r="D98" s="90" t="n"/>
      <c r="E98" s="91" t="n"/>
      <c r="F98" s="91" t="n"/>
      <c r="G98" s="91" t="n"/>
      <c r="H98" s="91" t="n"/>
      <c r="I98" s="91" t="n"/>
      <c r="J98" s="92" t="n"/>
      <c r="K98" s="92" t="n"/>
      <c r="L98" s="93" t="n"/>
      <c r="M98" s="92" t="n"/>
      <c r="N98" s="94" t="n"/>
      <c r="P98" s="95" t="n"/>
      <c r="Q98" s="91" t="n"/>
    </row>
    <row r="99">
      <c r="D99" s="90" t="n"/>
      <c r="E99" s="91" t="n"/>
      <c r="F99" s="91" t="n"/>
      <c r="G99" s="91" t="n"/>
      <c r="H99" s="91" t="n"/>
      <c r="I99" s="91" t="n"/>
      <c r="J99" s="92" t="n"/>
      <c r="K99" s="92" t="n"/>
      <c r="L99" s="93" t="n"/>
      <c r="M99" s="92" t="n"/>
      <c r="N99" s="94" t="n"/>
      <c r="P99" s="95" t="n"/>
      <c r="Q99" s="91" t="n"/>
    </row>
    <row r="100">
      <c r="D100" s="90" t="n"/>
      <c r="E100" s="91" t="n"/>
      <c r="F100" s="91" t="n"/>
      <c r="G100" s="91" t="n"/>
      <c r="H100" s="91" t="n"/>
      <c r="I100" s="91" t="n"/>
      <c r="J100" s="92" t="n"/>
      <c r="K100" s="92" t="n"/>
      <c r="L100" s="93" t="n"/>
      <c r="M100" s="92" t="n"/>
      <c r="N100" s="94" t="n"/>
      <c r="P100" s="95" t="n"/>
      <c r="Q100" s="91" t="n"/>
    </row>
    <row r="101">
      <c r="D101" s="90" t="n"/>
      <c r="E101" s="91" t="n"/>
      <c r="F101" s="91" t="n"/>
      <c r="G101" s="91" t="n"/>
      <c r="H101" s="91" t="n"/>
      <c r="I101" s="91" t="n"/>
      <c r="J101" s="92" t="n"/>
      <c r="K101" s="92" t="n"/>
      <c r="L101" s="93" t="n"/>
      <c r="M101" s="92" t="n"/>
      <c r="N101" s="94" t="n"/>
      <c r="P101" s="95" t="n"/>
      <c r="Q101" s="91" t="n"/>
    </row>
    <row r="102">
      <c r="D102" s="90" t="n"/>
      <c r="E102" s="91" t="n"/>
      <c r="F102" s="91" t="n"/>
      <c r="G102" s="91" t="n"/>
      <c r="H102" s="91" t="n"/>
      <c r="I102" s="91" t="n"/>
      <c r="J102" s="92" t="n"/>
      <c r="K102" s="92" t="n"/>
      <c r="L102" s="93" t="n"/>
      <c r="M102" s="92" t="n"/>
      <c r="N102" s="94" t="n"/>
      <c r="P102" s="95" t="n"/>
      <c r="Q102" s="91" t="n"/>
    </row>
    <row r="103">
      <c r="D103" s="90" t="n"/>
      <c r="E103" s="91" t="n"/>
      <c r="F103" s="91" t="n"/>
      <c r="G103" s="91" t="n"/>
      <c r="H103" s="91" t="n"/>
      <c r="I103" s="91" t="n"/>
      <c r="J103" s="92" t="n"/>
      <c r="K103" s="92" t="n"/>
      <c r="L103" s="93" t="n"/>
      <c r="M103" s="92" t="n"/>
      <c r="N103" s="94" t="n"/>
      <c r="P103" s="95" t="n"/>
      <c r="Q103" s="91" t="n"/>
    </row>
    <row r="104">
      <c r="D104" s="90" t="n"/>
      <c r="E104" s="91" t="n"/>
      <c r="F104" s="91" t="n"/>
      <c r="G104" s="91" t="n"/>
      <c r="H104" s="91" t="n"/>
      <c r="I104" s="91" t="n"/>
      <c r="J104" s="92" t="n"/>
      <c r="K104" s="92" t="n"/>
      <c r="L104" s="93" t="n"/>
      <c r="M104" s="92" t="n"/>
      <c r="N104" s="94" t="n"/>
      <c r="P104" s="95" t="n"/>
      <c r="Q104" s="91" t="n"/>
    </row>
    <row r="105">
      <c r="D105" s="90" t="n"/>
      <c r="E105" s="91" t="n"/>
      <c r="F105" s="91" t="n"/>
      <c r="G105" s="91" t="n"/>
      <c r="H105" s="91" t="n"/>
      <c r="I105" s="91" t="n"/>
      <c r="J105" s="92" t="n"/>
      <c r="K105" s="92" t="n"/>
      <c r="L105" s="93" t="n"/>
      <c r="M105" s="92" t="n"/>
      <c r="N105" s="94" t="n"/>
      <c r="P105" s="95" t="n"/>
      <c r="Q105" s="91" t="n"/>
    </row>
    <row r="106">
      <c r="D106" s="90" t="n"/>
      <c r="E106" s="91" t="n"/>
      <c r="F106" s="91" t="n"/>
      <c r="G106" s="91" t="n"/>
      <c r="H106" s="91" t="n"/>
      <c r="I106" s="91" t="n"/>
      <c r="J106" s="92" t="n"/>
      <c r="K106" s="92" t="n"/>
      <c r="L106" s="93" t="n"/>
      <c r="M106" s="92" t="n"/>
      <c r="N106" s="94" t="n"/>
      <c r="P106" s="95" t="n"/>
      <c r="Q106" s="91" t="n"/>
    </row>
    <row r="107">
      <c r="D107" s="90" t="n"/>
      <c r="E107" s="91" t="n"/>
      <c r="F107" s="91" t="n"/>
      <c r="G107" s="91" t="n"/>
      <c r="H107" s="91" t="n"/>
      <c r="I107" s="91" t="n"/>
      <c r="J107" s="92" t="n"/>
      <c r="K107" s="92" t="n"/>
      <c r="L107" s="93" t="n"/>
      <c r="M107" s="92" t="n"/>
      <c r="N107" s="94" t="n"/>
      <c r="P107" s="95" t="n"/>
      <c r="Q107" s="91" t="n"/>
    </row>
    <row r="108">
      <c r="D108" s="90" t="n"/>
      <c r="E108" s="91" t="n"/>
      <c r="F108" s="91" t="n"/>
      <c r="G108" s="91" t="n"/>
      <c r="H108" s="91" t="n"/>
      <c r="I108" s="91" t="n"/>
      <c r="J108" s="92" t="n"/>
      <c r="K108" s="92" t="n"/>
      <c r="L108" s="93" t="n"/>
      <c r="M108" s="92" t="n"/>
      <c r="N108" s="94" t="n"/>
      <c r="P108" s="95" t="n"/>
      <c r="Q108" s="91" t="n"/>
    </row>
    <row r="109">
      <c r="D109" s="90" t="n"/>
      <c r="E109" s="91" t="n"/>
      <c r="F109" s="91" t="n"/>
      <c r="G109" s="91" t="n"/>
      <c r="H109" s="91" t="n"/>
      <c r="I109" s="91" t="n"/>
      <c r="J109" s="92" t="n"/>
      <c r="K109" s="92" t="n"/>
      <c r="L109" s="93" t="n"/>
      <c r="M109" s="92" t="n"/>
      <c r="N109" s="94" t="n"/>
      <c r="P109" s="95" t="n"/>
      <c r="Q109" s="91" t="n"/>
    </row>
    <row r="110">
      <c r="D110" s="90" t="n"/>
      <c r="E110" s="91" t="n"/>
      <c r="F110" s="91" t="n"/>
      <c r="G110" s="91" t="n"/>
      <c r="H110" s="91" t="n"/>
      <c r="I110" s="91" t="n"/>
      <c r="J110" s="92" t="n"/>
      <c r="K110" s="92" t="n"/>
      <c r="L110" s="93" t="n"/>
      <c r="M110" s="92" t="n"/>
      <c r="N110" s="94" t="n"/>
      <c r="P110" s="95" t="n"/>
      <c r="Q110" s="91" t="n"/>
    </row>
    <row r="111">
      <c r="D111" s="90" t="n"/>
      <c r="E111" s="91" t="n"/>
      <c r="F111" s="91" t="n"/>
      <c r="G111" s="91" t="n"/>
      <c r="H111" s="91" t="n"/>
      <c r="I111" s="91" t="n"/>
      <c r="J111" s="92" t="n"/>
      <c r="K111" s="92" t="n"/>
      <c r="L111" s="93" t="n"/>
      <c r="M111" s="92" t="n"/>
      <c r="N111" s="94" t="n"/>
      <c r="P111" s="95" t="n"/>
      <c r="Q111" s="91" t="n"/>
    </row>
    <row r="112">
      <c r="D112" s="90" t="n"/>
      <c r="E112" s="91" t="n"/>
      <c r="F112" s="91" t="n"/>
      <c r="G112" s="91" t="n"/>
      <c r="H112" s="91" t="n"/>
      <c r="I112" s="91" t="n"/>
      <c r="J112" s="92" t="n"/>
      <c r="K112" s="92" t="n"/>
      <c r="L112" s="93" t="n"/>
      <c r="M112" s="92" t="n"/>
      <c r="N112" s="94" t="n"/>
      <c r="P112" s="95" t="n"/>
      <c r="Q112" s="91" t="n"/>
    </row>
    <row r="113">
      <c r="D113" s="90" t="n"/>
      <c r="E113" s="91" t="n"/>
      <c r="F113" s="91" t="n"/>
      <c r="G113" s="91" t="n"/>
      <c r="H113" s="91" t="n"/>
      <c r="I113" s="91" t="n"/>
      <c r="J113" s="92" t="n"/>
      <c r="K113" s="92" t="n"/>
      <c r="L113" s="93" t="n"/>
      <c r="M113" s="92" t="n"/>
      <c r="N113" s="94" t="n"/>
      <c r="P113" s="95" t="n"/>
      <c r="Q113" s="91" t="n"/>
    </row>
    <row r="114">
      <c r="D114" s="90" t="n"/>
      <c r="E114" s="91" t="n"/>
      <c r="F114" s="91" t="n"/>
      <c r="G114" s="91" t="n"/>
      <c r="H114" s="91" t="n"/>
      <c r="I114" s="91" t="n"/>
      <c r="J114" s="92" t="n"/>
      <c r="K114" s="92" t="n"/>
      <c r="L114" s="93" t="n"/>
      <c r="M114" s="92" t="n"/>
      <c r="N114" s="94" t="n"/>
      <c r="P114" s="95" t="n"/>
      <c r="Q114" s="91" t="n"/>
    </row>
    <row r="115">
      <c r="D115" s="90" t="n"/>
      <c r="E115" s="91" t="n"/>
      <c r="F115" s="91" t="n"/>
      <c r="G115" s="91" t="n"/>
      <c r="H115" s="91" t="n"/>
      <c r="I115" s="91" t="n"/>
      <c r="J115" s="92" t="n"/>
      <c r="K115" s="92" t="n"/>
      <c r="L115" s="93" t="n"/>
      <c r="M115" s="92" t="n"/>
      <c r="N115" s="94" t="n"/>
      <c r="P115" s="95" t="n"/>
      <c r="Q115" s="91" t="n"/>
    </row>
    <row r="116">
      <c r="D116" s="90" t="n"/>
      <c r="E116" s="91" t="n"/>
      <c r="F116" s="91" t="n"/>
      <c r="G116" s="91" t="n"/>
      <c r="H116" s="91" t="n"/>
      <c r="I116" s="91" t="n"/>
      <c r="J116" s="92" t="n"/>
      <c r="K116" s="92" t="n"/>
      <c r="L116" s="93" t="n"/>
      <c r="M116" s="92" t="n"/>
      <c r="N116" s="94" t="n"/>
      <c r="P116" s="95" t="n"/>
      <c r="Q116" s="91" t="n"/>
    </row>
    <row r="117">
      <c r="D117" s="90" t="n"/>
      <c r="E117" s="91" t="n"/>
      <c r="F117" s="91" t="n"/>
      <c r="G117" s="91" t="n"/>
      <c r="H117" s="91" t="n"/>
      <c r="I117" s="91" t="n"/>
      <c r="J117" s="92" t="n"/>
      <c r="K117" s="92" t="n"/>
      <c r="L117" s="93" t="n"/>
      <c r="M117" s="92" t="n"/>
      <c r="N117" s="94" t="n"/>
      <c r="P117" s="95" t="n"/>
      <c r="Q117" s="91" t="n"/>
    </row>
    <row r="118">
      <c r="D118" s="90" t="n"/>
      <c r="E118" s="91" t="n"/>
      <c r="F118" s="91" t="n"/>
      <c r="G118" s="91" t="n"/>
      <c r="H118" s="91" t="n"/>
      <c r="I118" s="91" t="n"/>
      <c r="J118" s="92" t="n"/>
      <c r="K118" s="92" t="n"/>
      <c r="L118" s="93" t="n"/>
      <c r="M118" s="92" t="n"/>
      <c r="N118" s="94" t="n"/>
      <c r="P118" s="95" t="n"/>
      <c r="Q118" s="91" t="n"/>
    </row>
    <row r="119">
      <c r="D119" s="90" t="n"/>
      <c r="E119" s="91" t="n"/>
      <c r="F119" s="91" t="n"/>
      <c r="G119" s="91" t="n"/>
      <c r="H119" s="91" t="n"/>
      <c r="I119" s="91" t="n"/>
      <c r="J119" s="92" t="n"/>
      <c r="K119" s="92" t="n"/>
      <c r="L119" s="93" t="n"/>
      <c r="M119" s="92" t="n"/>
      <c r="N119" s="94" t="n"/>
      <c r="P119" s="95" t="n"/>
      <c r="Q119" s="91" t="n"/>
    </row>
    <row r="120">
      <c r="D120" s="90" t="n"/>
      <c r="E120" s="91" t="n"/>
      <c r="F120" s="91" t="n"/>
      <c r="G120" s="91" t="n"/>
      <c r="H120" s="91" t="n"/>
      <c r="I120" s="91" t="n"/>
      <c r="J120" s="92" t="n"/>
      <c r="K120" s="92" t="n"/>
      <c r="L120" s="93" t="n"/>
      <c r="M120" s="92" t="n"/>
      <c r="N120" s="94" t="n"/>
      <c r="P120" s="95" t="n"/>
      <c r="Q120" s="91" t="n"/>
    </row>
    <row r="121">
      <c r="D121" s="90" t="n"/>
      <c r="E121" s="91" t="n"/>
      <c r="F121" s="91" t="n"/>
      <c r="G121" s="91" t="n"/>
      <c r="H121" s="91" t="n"/>
      <c r="I121" s="91" t="n"/>
      <c r="J121" s="92" t="n"/>
      <c r="K121" s="92" t="n"/>
      <c r="L121" s="93" t="n"/>
      <c r="M121" s="92" t="n"/>
      <c r="N121" s="94" t="n"/>
      <c r="P121" s="95" t="n"/>
      <c r="Q121" s="91" t="n"/>
    </row>
    <row r="122">
      <c r="D122" s="90" t="n"/>
      <c r="E122" s="91" t="n"/>
      <c r="F122" s="91" t="n"/>
      <c r="G122" s="91" t="n"/>
      <c r="H122" s="91" t="n"/>
      <c r="I122" s="91" t="n"/>
      <c r="J122" s="92" t="n"/>
      <c r="K122" s="92" t="n"/>
      <c r="L122" s="93" t="n"/>
      <c r="M122" s="92" t="n"/>
      <c r="N122" s="94" t="n"/>
      <c r="P122" s="95" t="n"/>
      <c r="Q122" s="91" t="n"/>
    </row>
    <row r="123">
      <c r="D123" s="90" t="n"/>
      <c r="E123" s="91" t="n"/>
      <c r="F123" s="91" t="n"/>
      <c r="G123" s="91" t="n"/>
      <c r="H123" s="91" t="n"/>
      <c r="I123" s="91" t="n"/>
      <c r="J123" s="92" t="n"/>
      <c r="K123" s="92" t="n"/>
      <c r="L123" s="93" t="n"/>
      <c r="M123" s="92" t="n"/>
      <c r="N123" s="94" t="n"/>
      <c r="P123" s="95" t="n"/>
      <c r="Q123" s="91" t="n"/>
    </row>
    <row r="124">
      <c r="D124" s="90" t="n"/>
      <c r="E124" s="91" t="n"/>
      <c r="F124" s="91" t="n"/>
      <c r="G124" s="91" t="n"/>
      <c r="H124" s="91" t="n"/>
      <c r="I124" s="91" t="n"/>
      <c r="J124" s="92" t="n"/>
      <c r="K124" s="92" t="n"/>
      <c r="L124" s="93" t="n"/>
      <c r="M124" s="92" t="n"/>
      <c r="N124" s="94" t="n"/>
      <c r="P124" s="95" t="n"/>
      <c r="Q124" s="91" t="n"/>
    </row>
    <row r="125">
      <c r="D125" s="90" t="n"/>
      <c r="E125" s="91" t="n"/>
      <c r="F125" s="91" t="n"/>
      <c r="G125" s="91" t="n"/>
      <c r="H125" s="91" t="n"/>
      <c r="I125" s="91" t="n"/>
      <c r="J125" s="92" t="n"/>
      <c r="K125" s="92" t="n"/>
      <c r="L125" s="93" t="n"/>
      <c r="M125" s="92" t="n"/>
      <c r="N125" s="94" t="n"/>
      <c r="P125" s="95" t="n"/>
      <c r="Q125" s="91" t="n"/>
    </row>
    <row r="126">
      <c r="D126" s="90" t="n"/>
      <c r="E126" s="91" t="n"/>
      <c r="F126" s="91" t="n"/>
      <c r="G126" s="91" t="n"/>
      <c r="H126" s="91" t="n"/>
      <c r="I126" s="91" t="n"/>
      <c r="J126" s="92" t="n"/>
      <c r="K126" s="92" t="n"/>
      <c r="L126" s="93" t="n"/>
      <c r="M126" s="92" t="n"/>
      <c r="N126" s="94" t="n"/>
      <c r="P126" s="95" t="n"/>
      <c r="Q126" s="91" t="n"/>
    </row>
    <row r="127">
      <c r="D127" s="90" t="n"/>
      <c r="E127" s="91" t="n"/>
      <c r="F127" s="91" t="n"/>
      <c r="G127" s="91" t="n"/>
      <c r="H127" s="91" t="n"/>
      <c r="I127" s="91" t="n"/>
      <c r="J127" s="92" t="n"/>
      <c r="K127" s="92" t="n"/>
      <c r="L127" s="93" t="n"/>
      <c r="M127" s="92" t="n"/>
      <c r="N127" s="94" t="n"/>
      <c r="P127" s="95" t="n"/>
      <c r="Q127" s="91" t="n"/>
    </row>
    <row r="128">
      <c r="D128" s="90" t="n"/>
      <c r="E128" s="91" t="n"/>
      <c r="F128" s="91" t="n"/>
      <c r="G128" s="91" t="n"/>
      <c r="H128" s="91" t="n"/>
      <c r="I128" s="91" t="n"/>
      <c r="J128" s="92" t="n"/>
      <c r="K128" s="92" t="n"/>
      <c r="L128" s="93" t="n"/>
      <c r="M128" s="92" t="n"/>
      <c r="N128" s="94" t="n"/>
      <c r="P128" s="95" t="n"/>
      <c r="Q128" s="91" t="n"/>
    </row>
    <row r="129">
      <c r="D129" s="90" t="n"/>
      <c r="E129" s="91" t="n"/>
      <c r="F129" s="91" t="n"/>
      <c r="G129" s="91" t="n"/>
      <c r="H129" s="91" t="n"/>
      <c r="I129" s="91" t="n"/>
      <c r="J129" s="92" t="n"/>
      <c r="K129" s="92" t="n"/>
      <c r="L129" s="93" t="n"/>
      <c r="M129" s="92" t="n"/>
      <c r="N129" s="94" t="n"/>
      <c r="P129" s="95" t="n"/>
      <c r="Q129" s="91" t="n"/>
    </row>
    <row r="130">
      <c r="D130" s="90" t="n"/>
      <c r="E130" s="91" t="n"/>
      <c r="F130" s="91" t="n"/>
      <c r="G130" s="91" t="n"/>
      <c r="H130" s="91" t="n"/>
      <c r="I130" s="91" t="n"/>
      <c r="J130" s="92" t="n"/>
      <c r="K130" s="92" t="n"/>
      <c r="L130" s="93" t="n"/>
      <c r="M130" s="92" t="n"/>
      <c r="N130" s="94" t="n"/>
      <c r="P130" s="95" t="n"/>
      <c r="Q130" s="91" t="n"/>
    </row>
    <row r="131">
      <c r="D131" s="90" t="n"/>
      <c r="E131" s="91" t="n"/>
      <c r="F131" s="91" t="n"/>
      <c r="G131" s="91" t="n"/>
      <c r="H131" s="91" t="n"/>
      <c r="I131" s="91" t="n"/>
      <c r="J131" s="92" t="n"/>
      <c r="K131" s="92" t="n"/>
      <c r="L131" s="93" t="n"/>
      <c r="M131" s="92" t="n"/>
      <c r="N131" s="94" t="n"/>
      <c r="P131" s="95" t="n"/>
      <c r="Q131" s="91" t="n"/>
    </row>
    <row r="132">
      <c r="D132" s="90" t="n"/>
      <c r="E132" s="91" t="n"/>
      <c r="F132" s="91" t="n"/>
      <c r="G132" s="91" t="n"/>
      <c r="H132" s="91" t="n"/>
      <c r="I132" s="91" t="n"/>
      <c r="J132" s="92" t="n"/>
      <c r="K132" s="92" t="n"/>
      <c r="L132" s="93" t="n"/>
      <c r="M132" s="92" t="n"/>
      <c r="N132" s="94" t="n"/>
      <c r="P132" s="95" t="n"/>
      <c r="Q132" s="91" t="n"/>
    </row>
    <row r="133">
      <c r="D133" s="90" t="n"/>
      <c r="E133" s="91" t="n"/>
      <c r="F133" s="91" t="n"/>
      <c r="G133" s="91" t="n"/>
      <c r="H133" s="91" t="n"/>
      <c r="I133" s="91" t="n"/>
      <c r="J133" s="92" t="n"/>
      <c r="K133" s="92" t="n"/>
      <c r="L133" s="93" t="n"/>
      <c r="M133" s="92" t="n"/>
      <c r="N133" s="94" t="n"/>
      <c r="P133" s="95" t="n"/>
      <c r="Q133" s="91" t="n"/>
    </row>
    <row r="134">
      <c r="D134" s="90" t="n"/>
      <c r="E134" s="91" t="n"/>
      <c r="F134" s="91" t="n"/>
      <c r="G134" s="91" t="n"/>
      <c r="H134" s="91" t="n"/>
      <c r="I134" s="91" t="n"/>
      <c r="J134" s="92" t="n"/>
      <c r="K134" s="92" t="n"/>
      <c r="L134" s="93" t="n"/>
      <c r="M134" s="92" t="n"/>
      <c r="N134" s="94" t="n"/>
      <c r="P134" s="95" t="n"/>
      <c r="Q134" s="91" t="n"/>
    </row>
    <row r="135">
      <c r="D135" s="90" t="n"/>
      <c r="E135" s="91" t="n"/>
      <c r="F135" s="91" t="n"/>
      <c r="G135" s="91" t="n"/>
      <c r="H135" s="91" t="n"/>
      <c r="I135" s="91" t="n"/>
      <c r="J135" s="92" t="n"/>
      <c r="K135" s="92" t="n"/>
      <c r="L135" s="93" t="n"/>
      <c r="M135" s="92" t="n"/>
      <c r="N135" s="94" t="n"/>
      <c r="P135" s="95" t="n"/>
      <c r="Q135" s="91" t="n"/>
    </row>
    <row r="136">
      <c r="D136" s="90" t="n"/>
      <c r="E136" s="91" t="n"/>
      <c r="F136" s="91" t="n"/>
      <c r="G136" s="91" t="n"/>
      <c r="H136" s="91" t="n"/>
      <c r="I136" s="91" t="n"/>
      <c r="J136" s="92" t="n"/>
      <c r="K136" s="92" t="n"/>
      <c r="L136" s="93" t="n"/>
      <c r="M136" s="92" t="n"/>
      <c r="N136" s="94" t="n"/>
      <c r="P136" s="95" t="n"/>
      <c r="Q136" s="91" t="n"/>
    </row>
    <row r="137">
      <c r="D137" s="90" t="n"/>
      <c r="E137" s="91" t="n"/>
      <c r="F137" s="91" t="n"/>
      <c r="G137" s="91" t="n"/>
      <c r="H137" s="91" t="n"/>
      <c r="I137" s="91" t="n"/>
      <c r="J137" s="92" t="n"/>
      <c r="K137" s="92" t="n"/>
      <c r="L137" s="93" t="n"/>
      <c r="M137" s="92" t="n"/>
      <c r="N137" s="94" t="n"/>
      <c r="P137" s="95" t="n"/>
      <c r="Q137" s="91" t="n"/>
    </row>
    <row r="138">
      <c r="D138" s="90" t="n"/>
      <c r="E138" s="91" t="n"/>
      <c r="F138" s="91" t="n"/>
      <c r="G138" s="91" t="n"/>
      <c r="H138" s="91" t="n"/>
      <c r="I138" s="91" t="n"/>
      <c r="J138" s="92" t="n"/>
      <c r="K138" s="92" t="n"/>
      <c r="L138" s="93" t="n"/>
      <c r="M138" s="92" t="n"/>
      <c r="N138" s="94" t="n"/>
      <c r="P138" s="95" t="n"/>
      <c r="Q138" s="91" t="n"/>
    </row>
    <row r="139">
      <c r="D139" s="90" t="n"/>
      <c r="E139" s="91" t="n"/>
      <c r="F139" s="91" t="n"/>
      <c r="G139" s="91" t="n"/>
      <c r="H139" s="91" t="n"/>
      <c r="I139" s="91" t="n"/>
      <c r="J139" s="92" t="n"/>
      <c r="K139" s="92" t="n"/>
      <c r="L139" s="93" t="n"/>
      <c r="M139" s="92" t="n"/>
      <c r="N139" s="94" t="n"/>
      <c r="P139" s="95" t="n"/>
      <c r="Q139" s="91" t="n"/>
    </row>
    <row r="140">
      <c r="D140" s="90" t="n"/>
      <c r="E140" s="91" t="n"/>
      <c r="F140" s="91" t="n"/>
      <c r="G140" s="91" t="n"/>
      <c r="H140" s="91" t="n"/>
      <c r="I140" s="91" t="n"/>
      <c r="J140" s="92" t="n"/>
      <c r="K140" s="92" t="n"/>
      <c r="L140" s="93" t="n"/>
      <c r="M140" s="92" t="n"/>
      <c r="N140" s="94" t="n"/>
      <c r="P140" s="95" t="n"/>
      <c r="Q140" s="91" t="n"/>
    </row>
    <row r="141">
      <c r="D141" s="90" t="n"/>
      <c r="E141" s="91" t="n"/>
      <c r="F141" s="91" t="n"/>
      <c r="G141" s="91" t="n"/>
      <c r="H141" s="91" t="n"/>
      <c r="I141" s="91" t="n"/>
      <c r="J141" s="92" t="n"/>
      <c r="K141" s="92" t="n"/>
      <c r="L141" s="93" t="n"/>
      <c r="M141" s="92" t="n"/>
      <c r="N141" s="94" t="n"/>
      <c r="P141" s="95" t="n"/>
      <c r="Q141" s="91" t="n"/>
    </row>
    <row r="142">
      <c r="D142" s="90" t="n"/>
      <c r="E142" s="91" t="n"/>
      <c r="F142" s="91" t="n"/>
      <c r="G142" s="91" t="n"/>
      <c r="H142" s="91" t="n"/>
      <c r="I142" s="91" t="n"/>
      <c r="J142" s="92" t="n"/>
      <c r="K142" s="92" t="n"/>
      <c r="L142" s="93" t="n"/>
      <c r="M142" s="92" t="n"/>
      <c r="N142" s="94" t="n"/>
      <c r="P142" s="95" t="n"/>
      <c r="Q142" s="91" t="n"/>
    </row>
    <row r="143">
      <c r="D143" s="90" t="n"/>
      <c r="E143" s="91" t="n"/>
      <c r="F143" s="91" t="n"/>
      <c r="G143" s="91" t="n"/>
      <c r="H143" s="91" t="n"/>
      <c r="I143" s="91" t="n"/>
      <c r="J143" s="92" t="n"/>
      <c r="K143" s="92" t="n"/>
      <c r="L143" s="93" t="n"/>
      <c r="M143" s="92" t="n"/>
      <c r="N143" s="94" t="n"/>
      <c r="P143" s="95" t="n"/>
      <c r="Q143" s="91" t="n"/>
    </row>
    <row r="144">
      <c r="D144" s="90" t="n"/>
      <c r="E144" s="91" t="n"/>
      <c r="F144" s="91" t="n"/>
      <c r="G144" s="91" t="n"/>
      <c r="H144" s="91" t="n"/>
      <c r="I144" s="91" t="n"/>
      <c r="J144" s="92" t="n"/>
      <c r="K144" s="92" t="n"/>
      <c r="L144" s="93" t="n"/>
      <c r="M144" s="92" t="n"/>
      <c r="N144" s="94" t="n"/>
      <c r="P144" s="95" t="n"/>
      <c r="Q144" s="91" t="n"/>
    </row>
    <row r="145">
      <c r="D145" s="90" t="n"/>
      <c r="E145" s="91" t="n"/>
      <c r="F145" s="91" t="n"/>
      <c r="G145" s="91" t="n"/>
      <c r="H145" s="91" t="n"/>
      <c r="I145" s="91" t="n"/>
      <c r="J145" s="92" t="n"/>
      <c r="K145" s="92" t="n"/>
      <c r="L145" s="93" t="n"/>
      <c r="M145" s="92" t="n"/>
      <c r="N145" s="94" t="n"/>
      <c r="P145" s="95" t="n"/>
      <c r="Q145" s="91" t="n"/>
    </row>
    <row r="146">
      <c r="D146" s="90" t="n"/>
      <c r="E146" s="91" t="n"/>
      <c r="F146" s="91" t="n"/>
      <c r="G146" s="91" t="n"/>
      <c r="H146" s="91" t="n"/>
      <c r="I146" s="91" t="n"/>
      <c r="J146" s="92" t="n"/>
      <c r="K146" s="92" t="n"/>
      <c r="L146" s="93" t="n"/>
      <c r="M146" s="92" t="n"/>
      <c r="N146" s="94" t="n"/>
      <c r="P146" s="95" t="n"/>
      <c r="Q146" s="91" t="n"/>
    </row>
    <row r="147">
      <c r="D147" s="90" t="n"/>
      <c r="E147" s="91" t="n"/>
      <c r="F147" s="91" t="n"/>
      <c r="G147" s="91" t="n"/>
      <c r="H147" s="91" t="n"/>
      <c r="I147" s="91" t="n"/>
      <c r="J147" s="92" t="n"/>
      <c r="K147" s="92" t="n"/>
      <c r="L147" s="93" t="n"/>
      <c r="M147" s="92" t="n"/>
      <c r="N147" s="94" t="n"/>
      <c r="P147" s="95" t="n"/>
      <c r="Q147" s="91" t="n"/>
    </row>
    <row r="148">
      <c r="D148" s="90" t="n"/>
      <c r="E148" s="91" t="n"/>
      <c r="F148" s="91" t="n"/>
      <c r="G148" s="91" t="n"/>
      <c r="H148" s="91" t="n"/>
      <c r="I148" s="91" t="n"/>
      <c r="J148" s="92" t="n"/>
      <c r="K148" s="92" t="n"/>
      <c r="L148" s="93" t="n"/>
      <c r="M148" s="92" t="n"/>
      <c r="N148" s="94" t="n"/>
      <c r="P148" s="95" t="n"/>
      <c r="Q148" s="91" t="n"/>
    </row>
    <row r="149">
      <c r="D149" s="90" t="n"/>
      <c r="E149" s="91" t="n"/>
      <c r="F149" s="91" t="n"/>
      <c r="G149" s="91" t="n"/>
      <c r="H149" s="91" t="n"/>
      <c r="I149" s="91" t="n"/>
      <c r="J149" s="92" t="n"/>
      <c r="K149" s="92" t="n"/>
      <c r="L149" s="93" t="n"/>
      <c r="M149" s="92" t="n"/>
      <c r="N149" s="94" t="n"/>
      <c r="P149" s="95" t="n"/>
      <c r="Q149" s="91" t="n"/>
    </row>
    <row r="150">
      <c r="D150" s="90" t="n"/>
      <c r="E150" s="91" t="n"/>
      <c r="F150" s="91" t="n"/>
      <c r="G150" s="91" t="n"/>
      <c r="H150" s="91" t="n"/>
      <c r="I150" s="91" t="n"/>
      <c r="J150" s="92" t="n"/>
      <c r="K150" s="92" t="n"/>
      <c r="L150" s="93" t="n"/>
      <c r="M150" s="92" t="n"/>
      <c r="N150" s="94" t="n"/>
      <c r="P150" s="95" t="n"/>
      <c r="Q150" s="91" t="n"/>
    </row>
    <row r="151">
      <c r="D151" s="90" t="n"/>
      <c r="E151" s="91" t="n"/>
      <c r="F151" s="91" t="n"/>
      <c r="G151" s="91" t="n"/>
      <c r="H151" s="91" t="n"/>
      <c r="I151" s="91" t="n"/>
      <c r="J151" s="92" t="n"/>
      <c r="K151" s="92" t="n"/>
      <c r="L151" s="93" t="n"/>
      <c r="M151" s="92" t="n"/>
      <c r="N151" s="94" t="n"/>
      <c r="P151" s="95" t="n"/>
      <c r="Q151" s="91" t="n"/>
    </row>
    <row r="152">
      <c r="D152" s="90" t="n"/>
      <c r="E152" s="91" t="n"/>
      <c r="F152" s="91" t="n"/>
      <c r="G152" s="91" t="n"/>
      <c r="H152" s="91" t="n"/>
      <c r="I152" s="91" t="n"/>
      <c r="J152" s="92" t="n"/>
      <c r="K152" s="92" t="n"/>
      <c r="L152" s="93" t="n"/>
      <c r="M152" s="92" t="n"/>
      <c r="N152" s="94" t="n"/>
      <c r="P152" s="95" t="n"/>
      <c r="Q152" s="91" t="n"/>
    </row>
    <row r="153">
      <c r="D153" s="90" t="n"/>
      <c r="E153" s="91" t="n"/>
      <c r="F153" s="91" t="n"/>
      <c r="G153" s="91" t="n"/>
      <c r="H153" s="91" t="n"/>
      <c r="I153" s="91" t="n"/>
      <c r="J153" s="92" t="n"/>
      <c r="K153" s="92" t="n"/>
      <c r="L153" s="93" t="n"/>
      <c r="M153" s="92" t="n"/>
      <c r="N153" s="94" t="n"/>
      <c r="P153" s="95" t="n"/>
      <c r="Q153" s="91" t="n"/>
    </row>
    <row r="154">
      <c r="D154" s="90" t="n"/>
      <c r="E154" s="91" t="n"/>
      <c r="F154" s="91" t="n"/>
      <c r="G154" s="91" t="n"/>
      <c r="H154" s="91" t="n"/>
      <c r="I154" s="91" t="n"/>
      <c r="J154" s="92" t="n"/>
      <c r="K154" s="92" t="n"/>
      <c r="L154" s="93" t="n"/>
      <c r="M154" s="92" t="n"/>
      <c r="N154" s="94" t="n"/>
      <c r="P154" s="95" t="n"/>
      <c r="Q154" s="91" t="n"/>
    </row>
    <row r="155">
      <c r="D155" s="90" t="n"/>
      <c r="E155" s="91" t="n"/>
      <c r="F155" s="91" t="n"/>
      <c r="G155" s="91" t="n"/>
      <c r="H155" s="91" t="n"/>
      <c r="I155" s="91" t="n"/>
      <c r="J155" s="92" t="n"/>
      <c r="K155" s="92" t="n"/>
      <c r="L155" s="93" t="n"/>
      <c r="M155" s="92" t="n"/>
      <c r="N155" s="94" t="n"/>
      <c r="P155" s="95" t="n"/>
      <c r="Q155" s="91" t="n"/>
    </row>
    <row r="156">
      <c r="D156" s="90" t="n"/>
      <c r="E156" s="91" t="n"/>
      <c r="F156" s="91" t="n"/>
      <c r="G156" s="91" t="n"/>
      <c r="H156" s="91" t="n"/>
      <c r="I156" s="91" t="n"/>
      <c r="J156" s="92" t="n"/>
      <c r="K156" s="92" t="n"/>
      <c r="L156" s="93" t="n"/>
      <c r="M156" s="92" t="n"/>
      <c r="N156" s="94" t="n"/>
      <c r="P156" s="95" t="n"/>
      <c r="Q156" s="91" t="n"/>
    </row>
    <row r="157">
      <c r="D157" s="90" t="n"/>
      <c r="E157" s="91" t="n"/>
      <c r="F157" s="91" t="n"/>
      <c r="G157" s="91" t="n"/>
      <c r="H157" s="91" t="n"/>
      <c r="I157" s="91" t="n"/>
      <c r="J157" s="92" t="n"/>
      <c r="K157" s="92" t="n"/>
      <c r="L157" s="93" t="n"/>
      <c r="M157" s="92" t="n"/>
      <c r="N157" s="94" t="n"/>
      <c r="P157" s="95" t="n"/>
      <c r="Q157" s="91" t="n"/>
    </row>
    <row r="158">
      <c r="D158" s="90" t="n"/>
      <c r="E158" s="91" t="n"/>
      <c r="F158" s="91" t="n"/>
      <c r="G158" s="91" t="n"/>
      <c r="H158" s="91" t="n"/>
      <c r="I158" s="91" t="n"/>
      <c r="J158" s="92" t="n"/>
      <c r="K158" s="92" t="n"/>
      <c r="L158" s="93" t="n"/>
      <c r="M158" s="92" t="n"/>
      <c r="N158" s="94" t="n"/>
      <c r="P158" s="95" t="n"/>
      <c r="Q158" s="91" t="n"/>
    </row>
    <row r="159">
      <c r="D159" s="90" t="n"/>
      <c r="E159" s="91" t="n"/>
      <c r="F159" s="91" t="n"/>
      <c r="G159" s="91" t="n"/>
      <c r="H159" s="91" t="n"/>
      <c r="I159" s="91" t="n"/>
      <c r="J159" s="92" t="n"/>
      <c r="K159" s="92" t="n"/>
      <c r="L159" s="93" t="n"/>
      <c r="M159" s="92" t="n"/>
      <c r="N159" s="94" t="n"/>
      <c r="P159" s="95" t="n"/>
      <c r="Q159" s="91" t="n"/>
    </row>
    <row r="160">
      <c r="D160" s="90" t="n"/>
      <c r="E160" s="91" t="n"/>
      <c r="F160" s="91" t="n"/>
      <c r="G160" s="91" t="n"/>
      <c r="H160" s="91" t="n"/>
      <c r="I160" s="91" t="n"/>
      <c r="J160" s="92" t="n"/>
      <c r="K160" s="92" t="n"/>
      <c r="L160" s="93" t="n"/>
      <c r="M160" s="92" t="n"/>
      <c r="N160" s="94" t="n"/>
      <c r="P160" s="95" t="n"/>
      <c r="Q160" s="91" t="n"/>
    </row>
    <row r="161">
      <c r="D161" s="90" t="n"/>
      <c r="E161" s="91" t="n"/>
      <c r="F161" s="91" t="n"/>
      <c r="G161" s="91" t="n"/>
      <c r="H161" s="91" t="n"/>
      <c r="I161" s="91" t="n"/>
      <c r="J161" s="92" t="n"/>
      <c r="K161" s="92" t="n"/>
      <c r="L161" s="93" t="n"/>
      <c r="M161" s="92" t="n"/>
      <c r="N161" s="94" t="n"/>
      <c r="P161" s="95" t="n"/>
      <c r="Q161" s="91" t="n"/>
    </row>
    <row r="162">
      <c r="D162" s="90" t="n"/>
      <c r="E162" s="91" t="n"/>
      <c r="F162" s="91" t="n"/>
      <c r="G162" s="91" t="n"/>
      <c r="H162" s="91" t="n"/>
      <c r="I162" s="91" t="n"/>
      <c r="J162" s="92" t="n"/>
      <c r="K162" s="92" t="n"/>
      <c r="L162" s="93" t="n"/>
      <c r="M162" s="92" t="n"/>
      <c r="N162" s="94" t="n"/>
      <c r="P162" s="95" t="n"/>
      <c r="Q162" s="91" t="n"/>
    </row>
    <row r="163">
      <c r="D163" s="90" t="n"/>
      <c r="E163" s="91" t="n"/>
      <c r="F163" s="91" t="n"/>
      <c r="G163" s="91" t="n"/>
      <c r="H163" s="91" t="n"/>
      <c r="I163" s="91" t="n"/>
      <c r="J163" s="92" t="n"/>
      <c r="K163" s="92" t="n"/>
      <c r="L163" s="93" t="n"/>
      <c r="M163" s="92" t="n"/>
      <c r="N163" s="94" t="n"/>
      <c r="P163" s="95" t="n"/>
      <c r="Q163" s="91" t="n"/>
    </row>
    <row r="164">
      <c r="D164" s="90" t="n"/>
      <c r="E164" s="91" t="n"/>
      <c r="F164" s="91" t="n"/>
      <c r="G164" s="91" t="n"/>
      <c r="H164" s="91" t="n"/>
      <c r="I164" s="91" t="n"/>
      <c r="J164" s="92" t="n"/>
      <c r="K164" s="92" t="n"/>
      <c r="L164" s="93" t="n"/>
      <c r="M164" s="92" t="n"/>
      <c r="N164" s="94" t="n"/>
      <c r="P164" s="95" t="n"/>
      <c r="Q164" s="91" t="n"/>
    </row>
    <row r="165">
      <c r="D165" s="90" t="n"/>
      <c r="E165" s="91" t="n"/>
      <c r="F165" s="91" t="n"/>
      <c r="G165" s="91" t="n"/>
      <c r="H165" s="91" t="n"/>
      <c r="I165" s="91" t="n"/>
      <c r="J165" s="92" t="n"/>
      <c r="K165" s="92" t="n"/>
      <c r="L165" s="93" t="n"/>
      <c r="M165" s="92" t="n"/>
      <c r="N165" s="94" t="n"/>
      <c r="P165" s="95" t="n"/>
      <c r="Q165" s="91" t="n"/>
    </row>
    <row r="166">
      <c r="D166" s="90" t="n"/>
      <c r="E166" s="91" t="n"/>
      <c r="F166" s="91" t="n"/>
      <c r="G166" s="91" t="n"/>
      <c r="H166" s="91" t="n"/>
      <c r="I166" s="91" t="n"/>
      <c r="J166" s="92" t="n"/>
      <c r="K166" s="92" t="n"/>
      <c r="L166" s="93" t="n"/>
      <c r="M166" s="92" t="n"/>
      <c r="N166" s="94" t="n"/>
      <c r="P166" s="95" t="n"/>
      <c r="Q166" s="91" t="n"/>
    </row>
    <row r="167">
      <c r="D167" s="90" t="n"/>
      <c r="E167" s="91" t="n"/>
      <c r="F167" s="91" t="n"/>
      <c r="G167" s="91" t="n"/>
      <c r="H167" s="91" t="n"/>
      <c r="I167" s="91" t="n"/>
      <c r="J167" s="92" t="n"/>
      <c r="K167" s="92" t="n"/>
      <c r="L167" s="93" t="n"/>
      <c r="M167" s="92" t="n"/>
      <c r="N167" s="94" t="n"/>
      <c r="P167" s="95" t="n"/>
      <c r="Q167" s="91" t="n"/>
    </row>
    <row r="168">
      <c r="D168" s="90" t="n"/>
      <c r="E168" s="91" t="n"/>
      <c r="F168" s="91" t="n"/>
      <c r="G168" s="91" t="n"/>
      <c r="H168" s="91" t="n"/>
      <c r="I168" s="91" t="n"/>
      <c r="J168" s="92" t="n"/>
      <c r="K168" s="92" t="n"/>
      <c r="L168" s="93" t="n"/>
      <c r="M168" s="92" t="n"/>
      <c r="N168" s="94" t="n"/>
      <c r="P168" s="95" t="n"/>
      <c r="Q168" s="91" t="n"/>
    </row>
    <row r="169">
      <c r="D169" s="90" t="n"/>
      <c r="E169" s="91" t="n"/>
      <c r="F169" s="91" t="n"/>
      <c r="G169" s="91" t="n"/>
      <c r="H169" s="91" t="n"/>
      <c r="I169" s="91" t="n"/>
      <c r="J169" s="92" t="n"/>
      <c r="K169" s="92" t="n"/>
      <c r="L169" s="93" t="n"/>
      <c r="M169" s="92" t="n"/>
      <c r="N169" s="94" t="n"/>
      <c r="P169" s="95" t="n"/>
      <c r="Q169" s="91" t="n"/>
    </row>
    <row r="170">
      <c r="D170" s="90" t="n"/>
      <c r="E170" s="91" t="n"/>
      <c r="F170" s="91" t="n"/>
      <c r="G170" s="91" t="n"/>
      <c r="H170" s="91" t="n"/>
      <c r="I170" s="91" t="n"/>
      <c r="J170" s="92" t="n"/>
      <c r="K170" s="92" t="n"/>
      <c r="L170" s="93" t="n"/>
      <c r="M170" s="92" t="n"/>
      <c r="N170" s="94" t="n"/>
      <c r="P170" s="95" t="n"/>
      <c r="Q170" s="91" t="n"/>
    </row>
    <row r="171">
      <c r="D171" s="90" t="n"/>
      <c r="E171" s="91" t="n"/>
      <c r="F171" s="91" t="n"/>
      <c r="G171" s="91" t="n"/>
      <c r="H171" s="91" t="n"/>
      <c r="I171" s="91" t="n"/>
      <c r="J171" s="92" t="n"/>
      <c r="K171" s="92" t="n"/>
      <c r="L171" s="93" t="n"/>
      <c r="M171" s="92" t="n"/>
      <c r="N171" s="94" t="n"/>
      <c r="P171" s="95" t="n"/>
      <c r="Q171" s="91" t="n"/>
    </row>
    <row r="172">
      <c r="D172" s="90" t="n"/>
      <c r="E172" s="91" t="n"/>
      <c r="F172" s="91" t="n"/>
      <c r="G172" s="91" t="n"/>
      <c r="H172" s="91" t="n"/>
      <c r="I172" s="91" t="n"/>
      <c r="J172" s="92" t="n"/>
      <c r="K172" s="92" t="n"/>
      <c r="L172" s="93" t="n"/>
      <c r="M172" s="92" t="n"/>
      <c r="N172" s="94" t="n"/>
      <c r="P172" s="95" t="n"/>
      <c r="Q172" s="91" t="n"/>
    </row>
    <row r="173">
      <c r="D173" s="90" t="n"/>
      <c r="E173" s="91" t="n"/>
      <c r="F173" s="91" t="n"/>
      <c r="G173" s="91" t="n"/>
      <c r="H173" s="91" t="n"/>
      <c r="I173" s="91" t="n"/>
      <c r="J173" s="92" t="n"/>
      <c r="K173" s="92" t="n"/>
      <c r="L173" s="93" t="n"/>
      <c r="M173" s="92" t="n"/>
      <c r="N173" s="94" t="n"/>
      <c r="P173" s="95" t="n"/>
      <c r="Q173" s="91" t="n"/>
    </row>
    <row r="174">
      <c r="D174" s="90" t="n"/>
      <c r="E174" s="91" t="n"/>
      <c r="F174" s="91" t="n"/>
      <c r="G174" s="91" t="n"/>
      <c r="H174" s="91" t="n"/>
      <c r="I174" s="91" t="n"/>
      <c r="J174" s="92" t="n"/>
      <c r="K174" s="92" t="n"/>
      <c r="L174" s="93" t="n"/>
      <c r="M174" s="92" t="n"/>
      <c r="N174" s="94" t="n"/>
      <c r="P174" s="95" t="n"/>
      <c r="Q174" s="91" t="n"/>
    </row>
    <row r="175">
      <c r="D175" s="90" t="n"/>
      <c r="E175" s="91" t="n"/>
      <c r="F175" s="91" t="n"/>
      <c r="G175" s="91" t="n"/>
      <c r="H175" s="91" t="n"/>
      <c r="I175" s="91" t="n"/>
      <c r="J175" s="92" t="n"/>
      <c r="K175" s="92" t="n"/>
      <c r="L175" s="93" t="n"/>
      <c r="M175" s="92" t="n"/>
      <c r="N175" s="94" t="n"/>
      <c r="P175" s="95" t="n"/>
      <c r="Q175" s="91" t="n"/>
    </row>
    <row r="176">
      <c r="D176" s="90" t="n"/>
      <c r="E176" s="91" t="n"/>
      <c r="F176" s="91" t="n"/>
      <c r="G176" s="91" t="n"/>
      <c r="H176" s="91" t="n"/>
      <c r="I176" s="91" t="n"/>
      <c r="J176" s="92" t="n"/>
      <c r="K176" s="92" t="n"/>
      <c r="L176" s="93" t="n"/>
      <c r="M176" s="92" t="n"/>
      <c r="N176" s="94" t="n"/>
      <c r="P176" s="95" t="n"/>
      <c r="Q176" s="91" t="n"/>
    </row>
    <row r="177">
      <c r="D177" s="90" t="n"/>
      <c r="E177" s="91" t="n"/>
      <c r="F177" s="91" t="n"/>
      <c r="G177" s="91" t="n"/>
      <c r="H177" s="91" t="n"/>
      <c r="I177" s="91" t="n"/>
      <c r="J177" s="92" t="n"/>
      <c r="K177" s="92" t="n"/>
      <c r="L177" s="93" t="n"/>
      <c r="M177" s="92" t="n"/>
      <c r="N177" s="94" t="n"/>
      <c r="P177" s="95" t="n"/>
      <c r="Q177" s="91" t="n"/>
    </row>
    <row r="178">
      <c r="D178" s="90" t="n"/>
      <c r="E178" s="91" t="n"/>
      <c r="F178" s="91" t="n"/>
      <c r="G178" s="91" t="n"/>
      <c r="H178" s="91" t="n"/>
      <c r="I178" s="91" t="n"/>
      <c r="J178" s="92" t="n"/>
      <c r="K178" s="92" t="n"/>
      <c r="L178" s="93" t="n"/>
      <c r="M178" s="92" t="n"/>
      <c r="N178" s="94" t="n"/>
      <c r="P178" s="95" t="n"/>
      <c r="Q178" s="91" t="n"/>
    </row>
    <row r="179">
      <c r="D179" s="90" t="n"/>
      <c r="E179" s="91" t="n"/>
      <c r="F179" s="91" t="n"/>
      <c r="G179" s="91" t="n"/>
      <c r="H179" s="91" t="n"/>
      <c r="I179" s="91" t="n"/>
      <c r="J179" s="92" t="n"/>
      <c r="K179" s="92" t="n"/>
      <c r="L179" s="93" t="n"/>
      <c r="M179" s="92" t="n"/>
      <c r="N179" s="94" t="n"/>
      <c r="P179" s="95" t="n"/>
      <c r="Q179" s="91" t="n"/>
    </row>
    <row r="180">
      <c r="D180" s="90" t="n"/>
      <c r="E180" s="91" t="n"/>
      <c r="F180" s="91" t="n"/>
      <c r="G180" s="91" t="n"/>
      <c r="H180" s="91" t="n"/>
      <c r="I180" s="91" t="n"/>
      <c r="J180" s="92" t="n"/>
      <c r="K180" s="92" t="n"/>
      <c r="L180" s="93" t="n"/>
      <c r="M180" s="92" t="n"/>
      <c r="N180" s="94" t="n"/>
      <c r="P180" s="95" t="n"/>
      <c r="Q180" s="91" t="n"/>
    </row>
    <row r="181">
      <c r="D181" s="90" t="n"/>
      <c r="E181" s="91" t="n"/>
      <c r="F181" s="91" t="n"/>
      <c r="G181" s="91" t="n"/>
      <c r="H181" s="91" t="n"/>
      <c r="I181" s="91" t="n"/>
      <c r="J181" s="92" t="n"/>
      <c r="K181" s="92" t="n"/>
      <c r="L181" s="93" t="n"/>
      <c r="M181" s="92" t="n"/>
      <c r="N181" s="94" t="n"/>
      <c r="P181" s="95" t="n"/>
      <c r="Q181" s="91" t="n"/>
    </row>
    <row r="182">
      <c r="D182" s="90" t="n"/>
      <c r="E182" s="91" t="n"/>
      <c r="F182" s="91" t="n"/>
      <c r="G182" s="91" t="n"/>
      <c r="H182" s="91" t="n"/>
      <c r="I182" s="91" t="n"/>
      <c r="J182" s="92" t="n"/>
      <c r="K182" s="92" t="n"/>
      <c r="L182" s="93" t="n"/>
      <c r="M182" s="92" t="n"/>
      <c r="N182" s="94" t="n"/>
      <c r="P182" s="95" t="n"/>
      <c r="Q182" s="91" t="n"/>
    </row>
    <row r="183">
      <c r="D183" s="90" t="n"/>
      <c r="E183" s="91" t="n"/>
      <c r="F183" s="91" t="n"/>
      <c r="G183" s="91" t="n"/>
      <c r="H183" s="91" t="n"/>
      <c r="I183" s="91" t="n"/>
      <c r="J183" s="92" t="n"/>
      <c r="K183" s="92" t="n"/>
      <c r="L183" s="93" t="n"/>
      <c r="M183" s="92" t="n"/>
      <c r="N183" s="94" t="n"/>
      <c r="P183" s="95" t="n"/>
      <c r="Q183" s="91" t="n"/>
    </row>
    <row r="184">
      <c r="D184" s="90" t="n"/>
      <c r="E184" s="91" t="n"/>
      <c r="F184" s="91" t="n"/>
      <c r="G184" s="91" t="n"/>
      <c r="H184" s="91" t="n"/>
      <c r="I184" s="91" t="n"/>
      <c r="J184" s="92" t="n"/>
      <c r="K184" s="92" t="n"/>
      <c r="L184" s="93" t="n"/>
      <c r="M184" s="92" t="n"/>
      <c r="N184" s="94" t="n"/>
      <c r="P184" s="95" t="n"/>
      <c r="Q184" s="91" t="n"/>
    </row>
    <row r="185">
      <c r="D185" s="90" t="n"/>
      <c r="E185" s="91" t="n"/>
      <c r="F185" s="91" t="n"/>
      <c r="G185" s="91" t="n"/>
      <c r="H185" s="91" t="n"/>
      <c r="I185" s="91" t="n"/>
      <c r="J185" s="92" t="n"/>
      <c r="K185" s="92" t="n"/>
      <c r="L185" s="93" t="n"/>
      <c r="M185" s="92" t="n"/>
      <c r="N185" s="94" t="n"/>
      <c r="P185" s="95" t="n"/>
      <c r="Q185" s="91" t="n"/>
    </row>
    <row r="186">
      <c r="D186" s="90" t="n"/>
      <c r="E186" s="91" t="n"/>
      <c r="F186" s="91" t="n"/>
      <c r="G186" s="91" t="n"/>
      <c r="H186" s="91" t="n"/>
      <c r="I186" s="91" t="n"/>
      <c r="J186" s="92" t="n"/>
      <c r="K186" s="92" t="n"/>
      <c r="L186" s="93" t="n"/>
      <c r="M186" s="92" t="n"/>
      <c r="N186" s="94" t="n"/>
      <c r="P186" s="95" t="n"/>
      <c r="Q186" s="91" t="n"/>
    </row>
    <row r="187">
      <c r="D187" s="90" t="n"/>
      <c r="E187" s="91" t="n"/>
      <c r="F187" s="91" t="n"/>
      <c r="G187" s="91" t="n"/>
      <c r="H187" s="91" t="n"/>
      <c r="I187" s="91" t="n"/>
      <c r="J187" s="92" t="n"/>
      <c r="K187" s="92" t="n"/>
      <c r="L187" s="93" t="n"/>
      <c r="M187" s="92" t="n"/>
      <c r="N187" s="94" t="n"/>
      <c r="P187" s="95" t="n"/>
      <c r="Q187" s="91" t="n"/>
    </row>
    <row r="188">
      <c r="D188" s="90" t="n"/>
      <c r="E188" s="91" t="n"/>
      <c r="F188" s="91" t="n"/>
      <c r="G188" s="91" t="n"/>
      <c r="H188" s="91" t="n"/>
      <c r="I188" s="91" t="n"/>
      <c r="J188" s="92" t="n"/>
      <c r="K188" s="92" t="n"/>
      <c r="L188" s="93" t="n"/>
      <c r="M188" s="92" t="n"/>
      <c r="N188" s="94" t="n"/>
      <c r="P188" s="95" t="n"/>
      <c r="Q188" s="91" t="n"/>
    </row>
    <row r="189">
      <c r="D189" s="90" t="n"/>
      <c r="E189" s="91" t="n"/>
      <c r="F189" s="91" t="n"/>
      <c r="G189" s="91" t="n"/>
      <c r="H189" s="91" t="n"/>
      <c r="I189" s="91" t="n"/>
      <c r="J189" s="92" t="n"/>
      <c r="K189" s="92" t="n"/>
      <c r="L189" s="93" t="n"/>
      <c r="M189" s="92" t="n"/>
      <c r="N189" s="94" t="n"/>
      <c r="P189" s="95" t="n"/>
      <c r="Q189" s="91" t="n"/>
    </row>
    <row r="190">
      <c r="D190" s="90" t="n"/>
      <c r="E190" s="91" t="n"/>
      <c r="F190" s="91" t="n"/>
      <c r="G190" s="91" t="n"/>
      <c r="H190" s="91" t="n"/>
      <c r="I190" s="91" t="n"/>
      <c r="J190" s="92" t="n"/>
      <c r="K190" s="92" t="n"/>
      <c r="L190" s="93" t="n"/>
      <c r="M190" s="92" t="n"/>
      <c r="N190" s="94" t="n"/>
      <c r="P190" s="95" t="n"/>
      <c r="Q190" s="91" t="n"/>
    </row>
    <row r="191">
      <c r="D191" s="90" t="n"/>
      <c r="E191" s="91" t="n"/>
      <c r="F191" s="91" t="n"/>
      <c r="G191" s="91" t="n"/>
      <c r="H191" s="91" t="n"/>
      <c r="I191" s="91" t="n"/>
      <c r="J191" s="92" t="n"/>
      <c r="K191" s="92" t="n"/>
      <c r="L191" s="93" t="n"/>
      <c r="M191" s="92" t="n"/>
      <c r="N191" s="94" t="n"/>
      <c r="P191" s="95" t="n"/>
      <c r="Q191" s="91" t="n"/>
    </row>
    <row r="192">
      <c r="D192" s="90" t="n"/>
      <c r="E192" s="91" t="n"/>
      <c r="F192" s="91" t="n"/>
      <c r="G192" s="91" t="n"/>
      <c r="H192" s="91" t="n"/>
      <c r="I192" s="91" t="n"/>
      <c r="J192" s="92" t="n"/>
      <c r="K192" s="92" t="n"/>
      <c r="L192" s="93" t="n"/>
      <c r="M192" s="92" t="n"/>
      <c r="N192" s="94" t="n"/>
      <c r="P192" s="95" t="n"/>
      <c r="Q192" s="91" t="n"/>
    </row>
    <row r="193">
      <c r="D193" s="90" t="n"/>
      <c r="E193" s="91" t="n"/>
      <c r="F193" s="91" t="n"/>
      <c r="G193" s="91" t="n"/>
      <c r="H193" s="91" t="n"/>
      <c r="I193" s="91" t="n"/>
      <c r="J193" s="92" t="n"/>
      <c r="K193" s="92" t="n"/>
      <c r="L193" s="93" t="n"/>
      <c r="M193" s="92" t="n"/>
      <c r="N193" s="94" t="n"/>
      <c r="P193" s="95" t="n"/>
      <c r="Q193" s="91" t="n"/>
    </row>
    <row r="194">
      <c r="D194" s="90" t="n"/>
      <c r="E194" s="91" t="n"/>
      <c r="F194" s="91" t="n"/>
      <c r="G194" s="91" t="n"/>
      <c r="H194" s="91" t="n"/>
      <c r="I194" s="91" t="n"/>
      <c r="J194" s="92" t="n"/>
      <c r="K194" s="92" t="n"/>
      <c r="L194" s="93" t="n"/>
      <c r="M194" s="92" t="n"/>
      <c r="N194" s="94" t="n"/>
      <c r="P194" s="95" t="n"/>
      <c r="Q194" s="91" t="n"/>
    </row>
    <row r="195">
      <c r="D195" s="90" t="n"/>
      <c r="E195" s="91" t="n"/>
      <c r="F195" s="91" t="n"/>
      <c r="G195" s="91" t="n"/>
      <c r="H195" s="91" t="n"/>
      <c r="I195" s="91" t="n"/>
      <c r="J195" s="92" t="n"/>
      <c r="K195" s="92" t="n"/>
      <c r="L195" s="93" t="n"/>
      <c r="M195" s="92" t="n"/>
      <c r="N195" s="94" t="n"/>
      <c r="P195" s="95" t="n"/>
      <c r="Q195" s="91" t="n"/>
    </row>
    <row r="196">
      <c r="D196" s="90" t="n"/>
      <c r="E196" s="91" t="n"/>
      <c r="F196" s="91" t="n"/>
      <c r="G196" s="91" t="n"/>
      <c r="H196" s="91" t="n"/>
      <c r="I196" s="91" t="n"/>
      <c r="J196" s="92" t="n"/>
      <c r="K196" s="92" t="n"/>
      <c r="L196" s="93" t="n"/>
      <c r="M196" s="92" t="n"/>
      <c r="N196" s="94" t="n"/>
      <c r="P196" s="95" t="n"/>
      <c r="Q196" s="91" t="n"/>
    </row>
    <row r="197">
      <c r="D197" s="90" t="n"/>
      <c r="E197" s="91" t="n"/>
      <c r="F197" s="91" t="n"/>
      <c r="G197" s="91" t="n"/>
      <c r="H197" s="91" t="n"/>
      <c r="I197" s="91" t="n"/>
      <c r="J197" s="92" t="n"/>
      <c r="K197" s="92" t="n"/>
      <c r="L197" s="93" t="n"/>
      <c r="M197" s="92" t="n"/>
      <c r="N197" s="94" t="n"/>
      <c r="P197" s="95" t="n"/>
      <c r="Q197" s="91" t="n"/>
    </row>
    <row r="198">
      <c r="D198" s="90" t="n"/>
      <c r="E198" s="91" t="n"/>
      <c r="F198" s="91" t="n"/>
      <c r="G198" s="91" t="n"/>
      <c r="H198" s="91" t="n"/>
      <c r="I198" s="91" t="n"/>
      <c r="J198" s="92" t="n"/>
      <c r="K198" s="92" t="n"/>
      <c r="L198" s="93" t="n"/>
      <c r="M198" s="92" t="n"/>
      <c r="N198" s="94" t="n"/>
      <c r="P198" s="95" t="n"/>
      <c r="Q198" s="91" t="n"/>
    </row>
    <row r="199">
      <c r="D199" s="90" t="n"/>
      <c r="E199" s="91" t="n"/>
      <c r="F199" s="91" t="n"/>
      <c r="G199" s="91" t="n"/>
      <c r="H199" s="91" t="n"/>
      <c r="I199" s="91" t="n"/>
      <c r="J199" s="92" t="n"/>
      <c r="K199" s="92" t="n"/>
      <c r="L199" s="93" t="n"/>
      <c r="M199" s="92" t="n"/>
      <c r="N199" s="94" t="n"/>
      <c r="P199" s="95" t="n"/>
      <c r="Q199" s="91" t="n"/>
    </row>
    <row r="200">
      <c r="D200" s="90" t="n"/>
      <c r="E200" s="91" t="n"/>
      <c r="F200" s="91" t="n"/>
      <c r="G200" s="91" t="n"/>
      <c r="H200" s="91" t="n"/>
      <c r="I200" s="91" t="n"/>
      <c r="J200" s="92" t="n"/>
      <c r="K200" s="92" t="n"/>
      <c r="L200" s="93" t="n"/>
      <c r="M200" s="92" t="n"/>
      <c r="N200" s="94" t="n"/>
      <c r="P200" s="95" t="n"/>
      <c r="Q200" s="91" t="n"/>
    </row>
    <row r="201">
      <c r="D201" s="90" t="n"/>
      <c r="E201" s="91" t="n"/>
      <c r="F201" s="91" t="n"/>
      <c r="G201" s="91" t="n"/>
      <c r="H201" s="91" t="n"/>
      <c r="I201" s="91" t="n"/>
      <c r="J201" s="92" t="n"/>
      <c r="K201" s="92" t="n"/>
      <c r="L201" s="93" t="n"/>
      <c r="M201" s="92" t="n"/>
      <c r="N201" s="94" t="n"/>
      <c r="P201" s="95" t="n"/>
      <c r="Q201" s="91" t="n"/>
    </row>
    <row r="202">
      <c r="Q202" s="96" t="n"/>
    </row>
    <row r="203">
      <c r="Q203" s="96" t="n"/>
    </row>
    <row r="204">
      <c r="Q204" s="96" t="n"/>
    </row>
    <row r="205">
      <c r="Q205" s="96" t="n"/>
    </row>
    <row r="206">
      <c r="Q206" s="96" t="n"/>
    </row>
    <row r="207">
      <c r="Q207" s="96" t="n"/>
    </row>
    <row r="208">
      <c r="Q208" s="96" t="n"/>
    </row>
    <row r="209">
      <c r="Q209" s="96" t="n"/>
    </row>
    <row r="210">
      <c r="Q210" s="96" t="n"/>
    </row>
    <row r="211">
      <c r="Q211" s="96" t="n"/>
    </row>
    <row r="212">
      <c r="Q212" s="96" t="n"/>
    </row>
    <row r="213">
      <c r="Q213" s="96" t="n"/>
    </row>
    <row r="214">
      <c r="Q214" s="96" t="n"/>
    </row>
    <row r="215">
      <c r="Q215" s="96" t="n"/>
    </row>
    <row r="216">
      <c r="Q216" s="96" t="n"/>
    </row>
    <row r="217">
      <c r="Q217" s="96" t="n"/>
    </row>
    <row r="218">
      <c r="Q218" s="96" t="n"/>
    </row>
    <row r="219">
      <c r="Q219" s="96" t="n"/>
    </row>
    <row r="220">
      <c r="Q220" s="96" t="n"/>
    </row>
    <row r="221">
      <c r="Q221" s="96" t="n"/>
    </row>
    <row r="222">
      <c r="Q222" s="96" t="n"/>
    </row>
    <row r="223">
      <c r="Q223" s="96" t="n"/>
    </row>
    <row r="224">
      <c r="Q224" s="96" t="n"/>
    </row>
    <row r="225">
      <c r="Q225" s="96" t="n"/>
    </row>
    <row r="226">
      <c r="Q226" s="96" t="n"/>
    </row>
    <row r="227">
      <c r="Q227" s="96" t="n"/>
    </row>
    <row r="228">
      <c r="Q228" s="96" t="n"/>
    </row>
    <row r="229">
      <c r="Q229" s="96" t="n"/>
    </row>
    <row r="230">
      <c r="Q230" s="96" t="n"/>
    </row>
    <row r="231">
      <c r="Q231" s="96" t="n"/>
    </row>
    <row r="232">
      <c r="Q232" s="96" t="n"/>
    </row>
    <row r="233">
      <c r="Q233" s="96" t="n"/>
    </row>
    <row r="234">
      <c r="Q234" s="96" t="n"/>
    </row>
    <row r="235">
      <c r="Q235" s="96" t="n"/>
    </row>
    <row r="236">
      <c r="Q236" s="96" t="n"/>
    </row>
    <row r="237">
      <c r="Q237" s="96" t="n"/>
    </row>
    <row r="238">
      <c r="Q238" s="96" t="n"/>
    </row>
    <row r="239">
      <c r="Q239" s="96" t="n"/>
    </row>
    <row r="240">
      <c r="Q240" s="96" t="n"/>
    </row>
    <row r="241">
      <c r="Q241" s="96" t="n"/>
    </row>
    <row r="242">
      <c r="Q242" s="96" t="n"/>
    </row>
    <row r="243">
      <c r="Q243" s="96" t="n"/>
    </row>
    <row r="244">
      <c r="Q244" s="96" t="n"/>
    </row>
    <row r="245">
      <c r="Q245" s="96" t="n"/>
    </row>
    <row r="246">
      <c r="Q246" s="96" t="n"/>
    </row>
    <row r="247">
      <c r="Q247" s="96" t="n"/>
    </row>
    <row r="248">
      <c r="Q248" s="96" t="n"/>
    </row>
    <row r="249">
      <c r="Q249" s="96" t="n"/>
    </row>
    <row r="250">
      <c r="Q250" s="96" t="n"/>
    </row>
    <row r="251">
      <c r="Q251" s="96" t="n"/>
    </row>
    <row r="252">
      <c r="Q252" s="96" t="n"/>
    </row>
    <row r="253">
      <c r="Q253" s="96" t="n"/>
    </row>
    <row r="254">
      <c r="Q254" s="96" t="n"/>
    </row>
    <row r="255">
      <c r="Q255" s="96" t="n"/>
    </row>
    <row r="256">
      <c r="Q256" s="96" t="n"/>
    </row>
    <row r="257">
      <c r="Q257" s="96" t="n"/>
    </row>
    <row r="258">
      <c r="Q258" s="96" t="n"/>
    </row>
    <row r="259">
      <c r="Q259" s="96" t="n"/>
    </row>
    <row r="260">
      <c r="Q260" s="96" t="n"/>
    </row>
    <row r="261">
      <c r="Q261" s="96" t="n"/>
    </row>
    <row r="262">
      <c r="Q262" s="96" t="n"/>
    </row>
    <row r="263">
      <c r="Q263" s="96" t="n"/>
    </row>
    <row r="264">
      <c r="Q264" s="96" t="n"/>
    </row>
    <row r="265">
      <c r="Q265" s="96" t="n"/>
    </row>
    <row r="266">
      <c r="Q266" s="96" t="n"/>
    </row>
    <row r="267">
      <c r="Q267" s="96" t="n"/>
    </row>
    <row r="268">
      <c r="Q268" s="96" t="n"/>
    </row>
    <row r="269">
      <c r="Q269" s="96" t="n"/>
    </row>
    <row r="270">
      <c r="Q270" s="96" t="n"/>
    </row>
    <row r="271">
      <c r="Q271" s="96" t="n"/>
    </row>
    <row r="272">
      <c r="Q272" s="96" t="n"/>
    </row>
    <row r="273">
      <c r="Q273" s="96" t="n"/>
    </row>
    <row r="274">
      <c r="Q274" s="96" t="n"/>
    </row>
    <row r="275">
      <c r="Q275" s="96" t="n"/>
    </row>
    <row r="276">
      <c r="Q276" s="96" t="n"/>
    </row>
    <row r="277">
      <c r="Q277" s="96" t="n"/>
    </row>
    <row r="278">
      <c r="Q278" s="96" t="n"/>
    </row>
    <row r="279">
      <c r="Q279" s="96" t="n"/>
    </row>
    <row r="280">
      <c r="Q280" s="96" t="n"/>
    </row>
    <row r="281">
      <c r="Q281" s="96" t="n"/>
    </row>
    <row r="282">
      <c r="Q282" s="96" t="n"/>
    </row>
    <row r="283">
      <c r="Q283" s="96" t="n"/>
    </row>
    <row r="284">
      <c r="Q284" s="96" t="n"/>
    </row>
    <row r="285">
      <c r="Q285" s="96" t="n"/>
    </row>
    <row r="286">
      <c r="Q286" s="96" t="n"/>
    </row>
    <row r="287">
      <c r="Q287" s="96" t="n"/>
    </row>
    <row r="288">
      <c r="Q288" s="96" t="n"/>
    </row>
    <row r="289">
      <c r="Q289" s="96" t="n"/>
    </row>
    <row r="290">
      <c r="Q290" s="96" t="n"/>
    </row>
    <row r="291">
      <c r="Q291" s="96" t="n"/>
    </row>
    <row r="292">
      <c r="Q292" s="96" t="n"/>
    </row>
    <row r="293">
      <c r="Q293" s="96" t="n"/>
    </row>
    <row r="294">
      <c r="Q294" s="96" t="n"/>
    </row>
    <row r="295">
      <c r="Q295" s="96" t="n"/>
    </row>
    <row r="296">
      <c r="Q296" s="96" t="n"/>
    </row>
    <row r="297">
      <c r="Q297" s="96" t="n"/>
    </row>
    <row r="298">
      <c r="Q298" s="96" t="n"/>
    </row>
    <row r="299">
      <c r="Q299" s="96" t="n"/>
    </row>
    <row r="300">
      <c r="Q300" s="96" t="n"/>
    </row>
    <row r="301">
      <c r="Q301" s="96" t="n"/>
    </row>
    <row r="302">
      <c r="Q302" s="96" t="n"/>
    </row>
    <row r="303">
      <c r="Q303" s="96" t="n"/>
    </row>
    <row r="304">
      <c r="Q304" s="96" t="n"/>
    </row>
    <row r="305">
      <c r="Q305" s="96" t="n"/>
    </row>
    <row r="306">
      <c r="Q306" s="96" t="n"/>
    </row>
    <row r="307">
      <c r="Q307" s="96" t="n"/>
    </row>
    <row r="308">
      <c r="Q308" s="96" t="n"/>
    </row>
    <row r="309">
      <c r="Q309" s="96" t="n"/>
    </row>
    <row r="310">
      <c r="Q310" s="96" t="n"/>
    </row>
    <row r="311">
      <c r="Q311" s="96" t="n"/>
    </row>
    <row r="312">
      <c r="Q312" s="96" t="n"/>
    </row>
    <row r="313">
      <c r="Q313" s="96" t="n"/>
    </row>
    <row r="314">
      <c r="Q314" s="96" t="n"/>
    </row>
    <row r="315">
      <c r="Q315" s="96" t="n"/>
    </row>
    <row r="316">
      <c r="Q316" s="96" t="n"/>
    </row>
    <row r="317">
      <c r="Q317" s="96" t="n"/>
    </row>
    <row r="318">
      <c r="Q318" s="96" t="n"/>
    </row>
    <row r="319">
      <c r="Q319" s="96" t="n"/>
    </row>
    <row r="320">
      <c r="Q320" s="96" t="n"/>
    </row>
    <row r="321">
      <c r="Q321" s="96" t="n"/>
    </row>
    <row r="322">
      <c r="Q322" s="96" t="n"/>
    </row>
    <row r="323">
      <c r="Q323" s="96" t="n"/>
    </row>
    <row r="324">
      <c r="Q324" s="96" t="n"/>
    </row>
    <row r="325">
      <c r="Q325" s="96" t="n"/>
    </row>
    <row r="326">
      <c r="Q326" s="96" t="n"/>
    </row>
    <row r="327">
      <c r="Q327" s="96" t="n"/>
    </row>
    <row r="328">
      <c r="Q328" s="96" t="n"/>
    </row>
    <row r="329">
      <c r="Q329" s="96" t="n"/>
    </row>
    <row r="330">
      <c r="Q330" s="96" t="n"/>
    </row>
    <row r="331">
      <c r="Q331" s="96" t="n"/>
    </row>
    <row r="332">
      <c r="Q332" s="96" t="n"/>
    </row>
    <row r="333">
      <c r="Q333" s="96" t="n"/>
    </row>
    <row r="334">
      <c r="Q334" s="96" t="n"/>
    </row>
    <row r="335">
      <c r="Q335" s="96" t="n"/>
    </row>
    <row r="336">
      <c r="Q336" s="96" t="n"/>
    </row>
    <row r="337">
      <c r="Q337" s="96" t="n"/>
    </row>
    <row r="338">
      <c r="Q338" s="96" t="n"/>
    </row>
    <row r="339">
      <c r="Q339" s="96" t="n"/>
    </row>
    <row r="340">
      <c r="Q340" s="96" t="n"/>
    </row>
    <row r="341">
      <c r="Q341" s="96" t="n"/>
    </row>
    <row r="342">
      <c r="Q342" s="96" t="n"/>
    </row>
    <row r="343">
      <c r="Q343" s="96" t="n"/>
    </row>
    <row r="344">
      <c r="Q344" s="96" t="n"/>
    </row>
    <row r="345">
      <c r="Q345" s="96" t="n"/>
    </row>
    <row r="346">
      <c r="Q346" s="96" t="n"/>
    </row>
    <row r="347">
      <c r="Q347" s="96" t="n"/>
    </row>
    <row r="348">
      <c r="Q348" s="96" t="n"/>
    </row>
    <row r="349">
      <c r="Q349" s="96" t="n"/>
    </row>
    <row r="350">
      <c r="Q350" s="96" t="n"/>
    </row>
    <row r="351">
      <c r="Q351" s="96" t="n"/>
    </row>
    <row r="352">
      <c r="Q352" s="96" t="n"/>
    </row>
    <row r="353">
      <c r="Q353" s="96" t="n"/>
    </row>
    <row r="354">
      <c r="Q354" s="96" t="n"/>
    </row>
    <row r="355">
      <c r="Q355" s="96" t="n"/>
    </row>
    <row r="356">
      <c r="Q356" s="96" t="n"/>
    </row>
    <row r="357">
      <c r="Q357" s="96" t="n"/>
    </row>
    <row r="358">
      <c r="Q358" s="96" t="n"/>
    </row>
    <row r="359">
      <c r="Q359" s="96" t="n"/>
    </row>
    <row r="360">
      <c r="Q360" s="96" t="n"/>
    </row>
    <row r="361">
      <c r="Q361" s="96" t="n"/>
    </row>
    <row r="362">
      <c r="Q362" s="96" t="n"/>
    </row>
    <row r="363">
      <c r="Q363" s="96" t="n"/>
    </row>
    <row r="364">
      <c r="Q364" s="96" t="n"/>
    </row>
    <row r="365">
      <c r="Q365" s="96" t="n"/>
    </row>
    <row r="366">
      <c r="Q366" s="96" t="n"/>
    </row>
    <row r="367">
      <c r="Q367" s="96" t="n"/>
    </row>
    <row r="368">
      <c r="Q368" s="96" t="n"/>
    </row>
    <row r="369">
      <c r="Q369" s="96" t="n"/>
    </row>
    <row r="370">
      <c r="Q370" s="96" t="n"/>
    </row>
    <row r="371">
      <c r="Q371" s="96" t="n"/>
    </row>
    <row r="372">
      <c r="Q372" s="96" t="n"/>
    </row>
    <row r="373">
      <c r="Q373" s="96" t="n"/>
    </row>
    <row r="374">
      <c r="Q374" s="96" t="n"/>
    </row>
    <row r="375">
      <c r="Q375" s="96" t="n"/>
    </row>
    <row r="376">
      <c r="Q376" s="96" t="n"/>
    </row>
    <row r="377">
      <c r="Q377" s="96" t="n"/>
    </row>
    <row r="378">
      <c r="Q378" s="96" t="n"/>
    </row>
    <row r="379">
      <c r="Q379" s="96" t="n"/>
    </row>
    <row r="380">
      <c r="Q380" s="96" t="n"/>
    </row>
    <row r="381">
      <c r="Q381" s="96" t="n"/>
    </row>
    <row r="382">
      <c r="Q382" s="96" t="n"/>
    </row>
    <row r="383">
      <c r="Q383" s="96" t="n"/>
    </row>
    <row r="384">
      <c r="Q384" s="96" t="n"/>
    </row>
    <row r="385">
      <c r="Q385" s="96" t="n"/>
    </row>
    <row r="386">
      <c r="Q386" s="96" t="n"/>
    </row>
    <row r="387">
      <c r="Q387" s="96" t="n"/>
    </row>
    <row r="388">
      <c r="Q388" s="96" t="n"/>
    </row>
    <row r="389">
      <c r="Q389" s="96" t="n"/>
    </row>
    <row r="390">
      <c r="Q390" s="96" t="n"/>
    </row>
    <row r="391">
      <c r="Q391" s="96" t="n"/>
    </row>
    <row r="392">
      <c r="Q392" s="96" t="n"/>
    </row>
    <row r="393">
      <c r="Q393" s="96" t="n"/>
    </row>
    <row r="394">
      <c r="Q394" s="96" t="n"/>
    </row>
    <row r="395">
      <c r="Q395" s="96" t="n"/>
    </row>
    <row r="396">
      <c r="Q396" s="96" t="n"/>
    </row>
    <row r="397">
      <c r="Q397" s="96" t="n"/>
    </row>
    <row r="398">
      <c r="Q398" s="96" t="n"/>
    </row>
    <row r="399">
      <c r="Q399" s="96" t="n"/>
    </row>
    <row r="400">
      <c r="Q400" s="96" t="n"/>
    </row>
    <row r="401">
      <c r="Q401" s="96" t="n"/>
    </row>
    <row r="402">
      <c r="Q402" s="96" t="n"/>
    </row>
    <row r="403">
      <c r="Q403" s="96" t="n"/>
    </row>
    <row r="404">
      <c r="Q404" s="96" t="n"/>
    </row>
    <row r="405">
      <c r="Q405" s="96" t="n"/>
    </row>
    <row r="406">
      <c r="Q406" s="96" t="n"/>
    </row>
    <row r="407">
      <c r="Q407" s="96" t="n"/>
    </row>
    <row r="408">
      <c r="Q408" s="96" t="n"/>
    </row>
    <row r="409">
      <c r="Q409" s="96" t="n"/>
    </row>
    <row r="410">
      <c r="Q410" s="96" t="n"/>
    </row>
    <row r="411">
      <c r="Q411" s="96" t="n"/>
    </row>
    <row r="412">
      <c r="Q412" s="96" t="n"/>
    </row>
    <row r="413">
      <c r="Q413" s="96" t="n"/>
    </row>
    <row r="414">
      <c r="Q414" s="96" t="n"/>
    </row>
    <row r="415">
      <c r="Q415" s="96" t="n"/>
    </row>
    <row r="416">
      <c r="Q416" s="96" t="n"/>
    </row>
    <row r="417">
      <c r="Q417" s="96" t="n"/>
    </row>
    <row r="418">
      <c r="Q418" s="96" t="n"/>
    </row>
    <row r="419">
      <c r="Q419" s="96" t="n"/>
    </row>
    <row r="420">
      <c r="Q420" s="96" t="n"/>
    </row>
    <row r="421">
      <c r="Q421" s="96" t="n"/>
    </row>
    <row r="422">
      <c r="Q422" s="96" t="n"/>
    </row>
    <row r="423">
      <c r="Q423" s="96" t="n"/>
    </row>
    <row r="424">
      <c r="Q424" s="96" t="n"/>
    </row>
    <row r="425">
      <c r="Q425" s="96" t="n"/>
    </row>
    <row r="426">
      <c r="Q426" s="96" t="n"/>
    </row>
    <row r="427">
      <c r="Q427" s="96" t="n"/>
    </row>
    <row r="428">
      <c r="Q428" s="96" t="n"/>
    </row>
    <row r="429">
      <c r="Q429" s="96" t="n"/>
    </row>
    <row r="430">
      <c r="Q430" s="96" t="n"/>
    </row>
    <row r="431">
      <c r="Q431" s="96" t="n"/>
    </row>
    <row r="432">
      <c r="Q432" s="96" t="n"/>
    </row>
    <row r="433">
      <c r="Q433" s="96" t="n"/>
    </row>
    <row r="434">
      <c r="Q434" s="96" t="n"/>
    </row>
    <row r="435">
      <c r="Q435" s="96" t="n"/>
    </row>
    <row r="436">
      <c r="Q436" s="96" t="n"/>
    </row>
    <row r="437">
      <c r="Q437" s="96" t="n"/>
    </row>
    <row r="438">
      <c r="Q438" s="96" t="n"/>
    </row>
    <row r="439">
      <c r="Q439" s="96" t="n"/>
    </row>
    <row r="440">
      <c r="Q440" s="96" t="n"/>
    </row>
    <row r="441">
      <c r="Q441" s="96" t="n"/>
    </row>
    <row r="442">
      <c r="Q442" s="96" t="n"/>
    </row>
    <row r="443">
      <c r="Q443" s="96" t="n"/>
    </row>
    <row r="444">
      <c r="Q444" s="96" t="n"/>
    </row>
    <row r="445">
      <c r="Q445" s="96" t="n"/>
    </row>
    <row r="446">
      <c r="Q446" s="96" t="n"/>
    </row>
    <row r="447">
      <c r="Q447" s="96" t="n"/>
    </row>
    <row r="448">
      <c r="Q448" s="96" t="n"/>
    </row>
    <row r="449">
      <c r="Q449" s="96" t="n"/>
    </row>
    <row r="450">
      <c r="Q450" s="96" t="n"/>
    </row>
    <row r="451">
      <c r="Q451" s="96" t="n"/>
    </row>
    <row r="452">
      <c r="Q452" s="96" t="n"/>
    </row>
    <row r="453">
      <c r="Q453" s="96" t="n"/>
    </row>
    <row r="454">
      <c r="Q454" s="96" t="n"/>
    </row>
    <row r="455">
      <c r="Q455" s="96" t="n"/>
    </row>
    <row r="456">
      <c r="Q456" s="96" t="n"/>
    </row>
    <row r="457">
      <c r="Q457" s="96" t="n"/>
    </row>
    <row r="458">
      <c r="Q458" s="96" t="n"/>
    </row>
    <row r="459">
      <c r="Q459" s="96" t="n"/>
    </row>
    <row r="460">
      <c r="Q460" s="96" t="n"/>
    </row>
    <row r="461">
      <c r="Q461" s="96" t="n"/>
    </row>
    <row r="462">
      <c r="Q462" s="96" t="n"/>
    </row>
    <row r="463">
      <c r="Q463" s="96" t="n"/>
    </row>
    <row r="464">
      <c r="Q464" s="96" t="n"/>
    </row>
    <row r="465">
      <c r="Q465" s="96" t="n"/>
    </row>
    <row r="466">
      <c r="Q466" s="96" t="n"/>
    </row>
    <row r="467">
      <c r="Q467" s="96" t="n"/>
    </row>
    <row r="468">
      <c r="Q468" s="96" t="n"/>
    </row>
    <row r="469">
      <c r="Q469" s="96" t="n"/>
    </row>
    <row r="470">
      <c r="Q470" s="96" t="n"/>
    </row>
    <row r="471">
      <c r="Q471" s="96" t="n"/>
    </row>
    <row r="472">
      <c r="Q472" s="96" t="n"/>
    </row>
    <row r="473">
      <c r="Q473" s="96" t="n"/>
    </row>
    <row r="474">
      <c r="Q474" s="96" t="n"/>
    </row>
    <row r="475">
      <c r="Q475" s="96" t="n"/>
    </row>
    <row r="476">
      <c r="Q476" s="96" t="n"/>
    </row>
    <row r="477">
      <c r="Q477" s="96" t="n"/>
    </row>
    <row r="478">
      <c r="Q478" s="96" t="n"/>
    </row>
    <row r="479">
      <c r="Q479" s="96" t="n"/>
    </row>
    <row r="480">
      <c r="Q480" s="96" t="n"/>
    </row>
    <row r="481">
      <c r="Q481" s="96" t="n"/>
    </row>
    <row r="482">
      <c r="Q482" s="96" t="n"/>
    </row>
    <row r="483">
      <c r="Q483" s="96" t="n"/>
    </row>
    <row r="484">
      <c r="Q484" s="96" t="n"/>
    </row>
    <row r="485">
      <c r="Q485" s="96" t="n"/>
    </row>
    <row r="486">
      <c r="Q486" s="96" t="n"/>
    </row>
    <row r="487">
      <c r="Q487" s="96" t="n"/>
    </row>
    <row r="488">
      <c r="Q488" s="96" t="n"/>
    </row>
    <row r="489">
      <c r="Q489" s="96" t="n"/>
    </row>
    <row r="490">
      <c r="Q490" s="96" t="n"/>
    </row>
    <row r="491">
      <c r="Q491" s="96" t="n"/>
    </row>
    <row r="492">
      <c r="Q492" s="96" t="n"/>
    </row>
    <row r="493">
      <c r="Q493" s="96" t="n"/>
    </row>
    <row r="494">
      <c r="Q494" s="96" t="n"/>
    </row>
    <row r="495">
      <c r="Q495" s="96" t="n"/>
    </row>
    <row r="496">
      <c r="Q496" s="96" t="n"/>
    </row>
    <row r="497">
      <c r="Q497" s="96" t="n"/>
    </row>
    <row r="498">
      <c r="Q498" s="96" t="n"/>
    </row>
    <row r="499">
      <c r="Q499" s="96" t="n"/>
    </row>
    <row r="500">
      <c r="Q500" s="96" t="n"/>
    </row>
    <row r="501">
      <c r="Q501" s="96" t="n"/>
    </row>
    <row r="502">
      <c r="Q502" s="96" t="n"/>
    </row>
    <row r="503">
      <c r="Q503" s="96" t="n"/>
    </row>
    <row r="504">
      <c r="Q504" s="96" t="n"/>
    </row>
    <row r="505">
      <c r="Q505" s="96" t="n"/>
    </row>
    <row r="506">
      <c r="Q506" s="96" t="n"/>
    </row>
    <row r="507">
      <c r="Q507" s="96" t="n"/>
    </row>
    <row r="508">
      <c r="Q508" s="96" t="n"/>
    </row>
    <row r="509">
      <c r="Q509" s="96" t="n"/>
    </row>
    <row r="510">
      <c r="Q510" s="96" t="n"/>
    </row>
    <row r="511">
      <c r="Q511" s="96" t="n"/>
    </row>
    <row r="512">
      <c r="Q512" s="96" t="n"/>
    </row>
    <row r="513">
      <c r="Q513" s="96" t="n"/>
    </row>
    <row r="514">
      <c r="Q514" s="96" t="n"/>
    </row>
    <row r="515">
      <c r="Q515" s="96" t="n"/>
    </row>
    <row r="516">
      <c r="Q516" s="96" t="n"/>
    </row>
    <row r="517">
      <c r="Q517" s="96" t="n"/>
    </row>
    <row r="518">
      <c r="Q518" s="96" t="n"/>
    </row>
    <row r="519">
      <c r="Q519" s="96" t="n"/>
    </row>
    <row r="520">
      <c r="Q520" s="96" t="n"/>
    </row>
    <row r="521">
      <c r="Q521" s="96" t="n"/>
    </row>
    <row r="522">
      <c r="Q522" s="96" t="n"/>
    </row>
    <row r="523">
      <c r="Q523" s="96" t="n"/>
    </row>
    <row r="524">
      <c r="Q524" s="96" t="n"/>
    </row>
    <row r="525">
      <c r="Q525" s="96" t="n"/>
    </row>
    <row r="526">
      <c r="Q526" s="96" t="n"/>
    </row>
    <row r="527">
      <c r="Q527" s="96" t="n"/>
    </row>
    <row r="528">
      <c r="Q528" s="96" t="n"/>
    </row>
    <row r="529">
      <c r="Q529" s="96" t="n"/>
    </row>
    <row r="530">
      <c r="Q530" s="96" t="n"/>
    </row>
    <row r="531">
      <c r="Q531" s="96" t="n"/>
    </row>
    <row r="532">
      <c r="Q532" s="96" t="n"/>
    </row>
    <row r="533">
      <c r="Q533" s="96" t="n"/>
    </row>
    <row r="534">
      <c r="Q534" s="96" t="n"/>
    </row>
    <row r="535">
      <c r="Q535" s="96" t="n"/>
    </row>
    <row r="536">
      <c r="Q536" s="96" t="n"/>
    </row>
    <row r="537">
      <c r="Q537" s="96" t="n"/>
    </row>
    <row r="538">
      <c r="Q538" s="96" t="n"/>
    </row>
    <row r="539">
      <c r="Q539" s="96" t="n"/>
    </row>
    <row r="540">
      <c r="Q540" s="96" t="n"/>
    </row>
    <row r="541">
      <c r="Q541" s="96" t="n"/>
    </row>
    <row r="542">
      <c r="Q542" s="96" t="n"/>
    </row>
    <row r="543">
      <c r="Q543" s="96" t="n"/>
    </row>
    <row r="544">
      <c r="Q544" s="96" t="n"/>
    </row>
    <row r="545">
      <c r="Q545" s="96" t="n"/>
    </row>
    <row r="546">
      <c r="Q546" s="96" t="n"/>
    </row>
    <row r="547">
      <c r="Q547" s="96" t="n"/>
    </row>
    <row r="548">
      <c r="Q548" s="96" t="n"/>
    </row>
    <row r="549">
      <c r="Q549" s="96" t="n"/>
    </row>
    <row r="550">
      <c r="Q550" s="96" t="n"/>
    </row>
    <row r="551">
      <c r="Q551" s="96" t="n"/>
    </row>
    <row r="552">
      <c r="Q552" s="96" t="n"/>
    </row>
    <row r="553">
      <c r="Q553" s="96" t="n"/>
    </row>
    <row r="554">
      <c r="Q554" s="96" t="n"/>
    </row>
    <row r="555">
      <c r="Q555" s="96" t="n"/>
    </row>
    <row r="556">
      <c r="Q556" s="96" t="n"/>
    </row>
    <row r="557">
      <c r="Q557" s="96" t="n"/>
    </row>
    <row r="558">
      <c r="Q558" s="96" t="n"/>
    </row>
    <row r="559">
      <c r="Q559" s="96" t="n"/>
    </row>
    <row r="560">
      <c r="Q560" s="96" t="n"/>
    </row>
    <row r="561">
      <c r="Q561" s="96" t="n"/>
    </row>
    <row r="562">
      <c r="Q562" s="96" t="n"/>
    </row>
    <row r="563">
      <c r="Q563" s="96" t="n"/>
    </row>
    <row r="564">
      <c r="Q564" s="96" t="n"/>
    </row>
    <row r="565">
      <c r="Q565" s="96" t="n"/>
    </row>
    <row r="566">
      <c r="Q566" s="96" t="n"/>
    </row>
    <row r="567">
      <c r="Q567" s="96" t="n"/>
    </row>
    <row r="568">
      <c r="Q568" s="96" t="n"/>
    </row>
    <row r="569">
      <c r="Q569" s="96" t="n"/>
    </row>
    <row r="570">
      <c r="Q570" s="96" t="n"/>
    </row>
    <row r="571">
      <c r="Q571" s="96" t="n"/>
    </row>
    <row r="572">
      <c r="Q572" s="96" t="n"/>
    </row>
    <row r="573">
      <c r="Q573" s="96" t="n"/>
    </row>
    <row r="574">
      <c r="Q574" s="96" t="n"/>
    </row>
    <row r="575">
      <c r="Q575" s="96" t="n"/>
    </row>
    <row r="576">
      <c r="Q576" s="96" t="n"/>
    </row>
    <row r="577">
      <c r="Q577" s="96" t="n"/>
    </row>
    <row r="578">
      <c r="Q578" s="96" t="n"/>
    </row>
    <row r="579">
      <c r="Q579" s="96" t="n"/>
    </row>
    <row r="580">
      <c r="Q580" s="96" t="n"/>
    </row>
    <row r="581">
      <c r="Q581" s="96" t="n"/>
    </row>
    <row r="582">
      <c r="Q582" s="96" t="n"/>
    </row>
    <row r="583">
      <c r="Q583" s="96" t="n"/>
    </row>
    <row r="584">
      <c r="Q584" s="96" t="n"/>
    </row>
    <row r="585">
      <c r="Q585" s="96" t="n"/>
    </row>
    <row r="586">
      <c r="Q586" s="96" t="n"/>
    </row>
    <row r="587">
      <c r="Q587" s="96" t="n"/>
    </row>
    <row r="588">
      <c r="Q588" s="96" t="n"/>
    </row>
    <row r="589">
      <c r="Q589" s="96" t="n"/>
    </row>
    <row r="590">
      <c r="Q590" s="96" t="n"/>
    </row>
    <row r="591">
      <c r="Q591" s="96" t="n"/>
    </row>
    <row r="592">
      <c r="Q592" s="96" t="n"/>
    </row>
    <row r="593">
      <c r="Q593" s="96" t="n"/>
    </row>
    <row r="594">
      <c r="Q594" s="96" t="n"/>
    </row>
    <row r="595">
      <c r="Q595" s="96" t="n"/>
    </row>
    <row r="596">
      <c r="Q596" s="96" t="n"/>
    </row>
    <row r="597">
      <c r="Q597" s="96" t="n"/>
    </row>
    <row r="598">
      <c r="Q598" s="96" t="n"/>
    </row>
    <row r="599">
      <c r="Q599" s="96" t="n"/>
    </row>
    <row r="600">
      <c r="Q600" s="96" t="n"/>
    </row>
    <row r="601">
      <c r="Q601" s="96" t="n"/>
    </row>
    <row r="602">
      <c r="Q602" s="96" t="n"/>
    </row>
    <row r="603">
      <c r="Q603" s="96" t="n"/>
    </row>
    <row r="604">
      <c r="Q604" s="96" t="n"/>
    </row>
    <row r="605">
      <c r="Q605" s="96" t="n"/>
    </row>
    <row r="606">
      <c r="Q606" s="96" t="n"/>
    </row>
    <row r="607">
      <c r="Q607" s="96" t="n"/>
    </row>
    <row r="608">
      <c r="Q608" s="96" t="n"/>
    </row>
    <row r="609">
      <c r="Q609" s="96" t="n"/>
    </row>
    <row r="610">
      <c r="Q610" s="96" t="n"/>
    </row>
    <row r="611">
      <c r="Q611" s="96" t="n"/>
    </row>
    <row r="612">
      <c r="Q612" s="96" t="n"/>
    </row>
    <row r="613">
      <c r="Q613" s="96" t="n"/>
    </row>
    <row r="614">
      <c r="Q614" s="96" t="n"/>
    </row>
    <row r="615">
      <c r="Q615" s="96" t="n"/>
    </row>
    <row r="616">
      <c r="Q616" s="96" t="n"/>
    </row>
    <row r="617">
      <c r="Q617" s="96" t="n"/>
    </row>
    <row r="618">
      <c r="Q618" s="96" t="n"/>
    </row>
    <row r="619">
      <c r="Q619" s="96" t="n"/>
    </row>
    <row r="620">
      <c r="Q620" s="96" t="n"/>
    </row>
    <row r="621">
      <c r="Q621" s="96" t="n"/>
    </row>
    <row r="622">
      <c r="Q622" s="96" t="n"/>
    </row>
    <row r="623">
      <c r="Q623" s="96" t="n"/>
    </row>
    <row r="624">
      <c r="Q624" s="96" t="n"/>
    </row>
    <row r="625">
      <c r="Q625" s="96" t="n"/>
    </row>
    <row r="626">
      <c r="Q626" s="96" t="n"/>
    </row>
    <row r="627">
      <c r="Q627" s="96" t="n"/>
    </row>
    <row r="628">
      <c r="Q628" s="96" t="n"/>
    </row>
    <row r="629">
      <c r="Q629" s="96" t="n"/>
    </row>
    <row r="630">
      <c r="Q630" s="96" t="n"/>
    </row>
    <row r="631">
      <c r="Q631" s="96" t="n"/>
    </row>
    <row r="632">
      <c r="Q632" s="96" t="n"/>
    </row>
    <row r="633">
      <c r="Q633" s="96" t="n"/>
    </row>
    <row r="634">
      <c r="Q634" s="96" t="n"/>
    </row>
    <row r="635">
      <c r="Q635" s="96" t="n"/>
    </row>
    <row r="636">
      <c r="Q636" s="96" t="n"/>
    </row>
    <row r="637">
      <c r="Q637" s="96" t="n"/>
    </row>
    <row r="638">
      <c r="Q638" s="96" t="n"/>
    </row>
    <row r="639">
      <c r="Q639" s="96" t="n"/>
    </row>
    <row r="640">
      <c r="Q640" s="96" t="n"/>
    </row>
    <row r="641">
      <c r="Q641" s="96" t="n"/>
    </row>
    <row r="642">
      <c r="Q642" s="96" t="n"/>
    </row>
    <row r="643">
      <c r="Q643" s="96" t="n"/>
    </row>
    <row r="644">
      <c r="Q644" s="96" t="n"/>
    </row>
    <row r="645">
      <c r="Q645" s="96" t="n"/>
    </row>
    <row r="646">
      <c r="Q646" s="96" t="n"/>
    </row>
    <row r="647">
      <c r="Q647" s="96" t="n"/>
    </row>
    <row r="648">
      <c r="Q648" s="96" t="n"/>
    </row>
    <row r="649">
      <c r="Q649" s="96" t="n"/>
    </row>
    <row r="650">
      <c r="Q650" s="96" t="n"/>
    </row>
    <row r="651">
      <c r="Q651" s="96" t="n"/>
    </row>
    <row r="652">
      <c r="Q652" s="96" t="n"/>
    </row>
    <row r="653">
      <c r="Q653" s="96" t="n"/>
    </row>
    <row r="654">
      <c r="Q654" s="96" t="n"/>
    </row>
    <row r="655">
      <c r="Q655" s="96" t="n"/>
    </row>
    <row r="656">
      <c r="Q656" s="96" t="n"/>
    </row>
    <row r="657">
      <c r="Q657" s="96" t="n"/>
    </row>
    <row r="658">
      <c r="Q658" s="96" t="n"/>
    </row>
    <row r="659">
      <c r="Q659" s="96" t="n"/>
    </row>
    <row r="660">
      <c r="Q660" s="96" t="n"/>
    </row>
    <row r="661">
      <c r="Q661" s="96" t="n"/>
    </row>
    <row r="662">
      <c r="Q662" s="96" t="n"/>
    </row>
    <row r="663">
      <c r="Q663" s="96" t="n"/>
    </row>
    <row r="664">
      <c r="Q664" s="96" t="n"/>
    </row>
    <row r="665">
      <c r="Q665" s="96" t="n"/>
    </row>
    <row r="666">
      <c r="Q666" s="96" t="n"/>
    </row>
    <row r="667">
      <c r="Q667" s="96" t="n"/>
    </row>
    <row r="668">
      <c r="Q668" s="96" t="n"/>
    </row>
    <row r="669">
      <c r="Q669" s="96" t="n"/>
    </row>
    <row r="670">
      <c r="Q670" s="96" t="n"/>
    </row>
    <row r="671">
      <c r="Q671" s="96" t="n"/>
    </row>
    <row r="672">
      <c r="Q672" s="96" t="n"/>
    </row>
    <row r="673">
      <c r="Q673" s="96" t="n"/>
    </row>
    <row r="674">
      <c r="Q674" s="96" t="n"/>
    </row>
    <row r="675">
      <c r="Q675" s="96" t="n"/>
    </row>
    <row r="676">
      <c r="Q676" s="96" t="n"/>
    </row>
    <row r="677">
      <c r="Q677" s="96" t="n"/>
    </row>
    <row r="678">
      <c r="Q678" s="96" t="n"/>
    </row>
    <row r="679">
      <c r="Q679" s="96" t="n"/>
    </row>
    <row r="680">
      <c r="Q680" s="96" t="n"/>
    </row>
    <row r="681">
      <c r="Q681" s="96" t="n"/>
    </row>
    <row r="682">
      <c r="Q682" s="96" t="n"/>
    </row>
    <row r="683">
      <c r="Q683" s="96" t="n"/>
    </row>
    <row r="684">
      <c r="Q684" s="96" t="n"/>
    </row>
    <row r="685">
      <c r="Q685" s="96" t="n"/>
    </row>
    <row r="686">
      <c r="Q686" s="96" t="n"/>
    </row>
    <row r="687">
      <c r="Q687" s="96" t="n"/>
    </row>
    <row r="688">
      <c r="Q688" s="96" t="n"/>
    </row>
    <row r="689">
      <c r="Q689" s="96" t="n"/>
    </row>
    <row r="690">
      <c r="Q690" s="96" t="n"/>
    </row>
    <row r="691">
      <c r="Q691" s="96" t="n"/>
    </row>
    <row r="692">
      <c r="Q692" s="96" t="n"/>
    </row>
    <row r="693">
      <c r="Q693" s="96" t="n"/>
    </row>
    <row r="694">
      <c r="Q694" s="96" t="n"/>
    </row>
    <row r="695">
      <c r="Q695" s="96" t="n"/>
    </row>
    <row r="696">
      <c r="Q696" s="96" t="n"/>
    </row>
    <row r="697">
      <c r="Q697" s="96" t="n"/>
    </row>
    <row r="698">
      <c r="Q698" s="96" t="n"/>
    </row>
    <row r="699">
      <c r="Q699" s="96" t="n"/>
    </row>
    <row r="700">
      <c r="Q700" s="96" t="n"/>
    </row>
    <row r="701">
      <c r="Q701" s="96" t="n"/>
    </row>
    <row r="702">
      <c r="Q702" s="96" t="n"/>
    </row>
    <row r="703">
      <c r="Q703" s="96" t="n"/>
    </row>
    <row r="704">
      <c r="Q704" s="96" t="n"/>
    </row>
    <row r="705">
      <c r="Q705" s="96" t="n"/>
    </row>
    <row r="706">
      <c r="Q706" s="96" t="n"/>
    </row>
    <row r="707">
      <c r="Q707" s="96" t="n"/>
    </row>
    <row r="708">
      <c r="Q708" s="96" t="n"/>
    </row>
    <row r="709">
      <c r="Q709" s="96" t="n"/>
    </row>
    <row r="710">
      <c r="Q710" s="96" t="n"/>
    </row>
    <row r="711">
      <c r="Q711" s="96" t="n"/>
    </row>
    <row r="712">
      <c r="Q712" s="96" t="n"/>
    </row>
    <row r="713">
      <c r="Q713" s="96" t="n"/>
    </row>
    <row r="714">
      <c r="Q714" s="96" t="n"/>
    </row>
    <row r="715">
      <c r="Q715" s="96" t="n"/>
    </row>
    <row r="716">
      <c r="Q716" s="96" t="n"/>
    </row>
    <row r="717">
      <c r="Q717" s="96" t="n"/>
    </row>
    <row r="718">
      <c r="Q718" s="96" t="n"/>
    </row>
    <row r="719">
      <c r="Q719" s="96" t="n"/>
    </row>
    <row r="720">
      <c r="Q720" s="96" t="n"/>
    </row>
    <row r="721">
      <c r="Q721" s="96" t="n"/>
    </row>
    <row r="722">
      <c r="Q722" s="96" t="n"/>
    </row>
    <row r="723">
      <c r="Q723" s="96" t="n"/>
    </row>
    <row r="724">
      <c r="Q724" s="96" t="n"/>
    </row>
    <row r="725">
      <c r="Q725" s="96" t="n"/>
    </row>
    <row r="726">
      <c r="Q726" s="96" t="n"/>
    </row>
    <row r="727">
      <c r="Q727" s="96" t="n"/>
    </row>
    <row r="728">
      <c r="Q728" s="96" t="n"/>
    </row>
    <row r="729">
      <c r="Q729" s="96" t="n"/>
    </row>
    <row r="730">
      <c r="Q730" s="96" t="n"/>
    </row>
    <row r="731">
      <c r="Q731" s="96" t="n"/>
    </row>
    <row r="732">
      <c r="Q732" s="96" t="n"/>
    </row>
    <row r="733">
      <c r="Q733" s="96" t="n"/>
    </row>
    <row r="734">
      <c r="Q734" s="96" t="n"/>
    </row>
    <row r="735">
      <c r="Q735" s="96" t="n"/>
    </row>
    <row r="736">
      <c r="Q736" s="96" t="n"/>
    </row>
    <row r="737">
      <c r="Q737" s="96" t="n"/>
    </row>
    <row r="738">
      <c r="Q738" s="96" t="n"/>
    </row>
    <row r="739">
      <c r="Q739" s="96" t="n"/>
    </row>
    <row r="740">
      <c r="Q740" s="96" t="n"/>
    </row>
    <row r="741">
      <c r="Q741" s="96" t="n"/>
    </row>
    <row r="742">
      <c r="Q742" s="96" t="n"/>
    </row>
    <row r="743">
      <c r="Q743" s="96" t="n"/>
    </row>
    <row r="744">
      <c r="Q744" s="96" t="n"/>
    </row>
    <row r="745">
      <c r="Q745" s="96" t="n"/>
    </row>
    <row r="746">
      <c r="Q746" s="96" t="n"/>
    </row>
    <row r="747">
      <c r="Q747" s="96" t="n"/>
    </row>
    <row r="748">
      <c r="Q748" s="96" t="n"/>
    </row>
    <row r="749">
      <c r="Q749" s="96" t="n"/>
    </row>
    <row r="750">
      <c r="Q750" s="96" t="n"/>
    </row>
    <row r="751">
      <c r="Q751" s="96" t="n"/>
    </row>
    <row r="752">
      <c r="Q752" s="96" t="n"/>
    </row>
    <row r="753">
      <c r="Q753" s="96" t="n"/>
    </row>
    <row r="754">
      <c r="Q754" s="96" t="n"/>
    </row>
    <row r="755">
      <c r="Q755" s="96" t="n"/>
    </row>
    <row r="756">
      <c r="Q756" s="96" t="n"/>
    </row>
    <row r="757">
      <c r="Q757" s="96" t="n"/>
    </row>
    <row r="758">
      <c r="Q758" s="96" t="n"/>
    </row>
    <row r="759">
      <c r="Q759" s="96" t="n"/>
    </row>
    <row r="760">
      <c r="Q760" s="96" t="n"/>
    </row>
    <row r="761">
      <c r="Q761" s="96" t="n"/>
    </row>
    <row r="762">
      <c r="Q762" s="96" t="n"/>
    </row>
    <row r="763">
      <c r="Q763" s="96" t="n"/>
    </row>
    <row r="764">
      <c r="Q764" s="96" t="n"/>
    </row>
    <row r="765">
      <c r="Q765" s="96" t="n"/>
    </row>
    <row r="766">
      <c r="Q766" s="96" t="n"/>
    </row>
    <row r="767">
      <c r="Q767" s="96" t="n"/>
    </row>
    <row r="768">
      <c r="Q768" s="96" t="n"/>
    </row>
    <row r="769">
      <c r="Q769" s="96" t="n"/>
    </row>
    <row r="770">
      <c r="Q770" s="96" t="n"/>
    </row>
    <row r="771">
      <c r="Q771" s="96" t="n"/>
    </row>
    <row r="772">
      <c r="Q772" s="96" t="n"/>
    </row>
    <row r="773">
      <c r="Q773" s="96" t="n"/>
    </row>
    <row r="774">
      <c r="Q774" s="96" t="n"/>
    </row>
    <row r="775">
      <c r="Q775" s="96" t="n"/>
    </row>
    <row r="776">
      <c r="Q776" s="96" t="n"/>
    </row>
    <row r="777">
      <c r="Q777" s="96" t="n"/>
    </row>
    <row r="778">
      <c r="Q778" s="96" t="n"/>
    </row>
    <row r="779">
      <c r="Q779" s="96" t="n"/>
    </row>
    <row r="780">
      <c r="Q780" s="96" t="n"/>
    </row>
    <row r="781">
      <c r="Q781" s="96" t="n"/>
    </row>
    <row r="782">
      <c r="Q782" s="96" t="n"/>
    </row>
    <row r="783">
      <c r="Q783" s="96" t="n"/>
    </row>
    <row r="784">
      <c r="Q784" s="96" t="n"/>
    </row>
    <row r="785">
      <c r="Q785" s="96" t="n"/>
    </row>
    <row r="786">
      <c r="Q786" s="96" t="n"/>
    </row>
    <row r="787">
      <c r="Q787" s="96" t="n"/>
    </row>
    <row r="788">
      <c r="Q788" s="96" t="n"/>
    </row>
    <row r="789">
      <c r="Q789" s="96" t="n"/>
    </row>
    <row r="790">
      <c r="Q790" s="96" t="n"/>
    </row>
    <row r="791">
      <c r="Q791" s="96" t="n"/>
    </row>
    <row r="792">
      <c r="Q792" s="96" t="n"/>
    </row>
    <row r="793">
      <c r="Q793" s="96" t="n"/>
    </row>
    <row r="794">
      <c r="Q794" s="96" t="n"/>
    </row>
    <row r="795">
      <c r="Q795" s="96" t="n"/>
    </row>
    <row r="796">
      <c r="Q796" s="96" t="n"/>
    </row>
    <row r="797">
      <c r="Q797" s="96" t="n"/>
    </row>
    <row r="798">
      <c r="Q798" s="96" t="n"/>
    </row>
    <row r="799">
      <c r="Q799" s="96" t="n"/>
    </row>
    <row r="800">
      <c r="Q800" s="96" t="n"/>
    </row>
    <row r="801">
      <c r="Q801" s="96" t="n"/>
    </row>
    <row r="802">
      <c r="Q802" s="96" t="n"/>
    </row>
    <row r="803">
      <c r="Q803" s="96" t="n"/>
    </row>
    <row r="804">
      <c r="Q804" s="96" t="n"/>
    </row>
    <row r="805">
      <c r="Q805" s="96" t="n"/>
    </row>
    <row r="806">
      <c r="Q806" s="96" t="n"/>
    </row>
    <row r="807">
      <c r="Q807" s="96" t="n"/>
    </row>
    <row r="808">
      <c r="Q808" s="96" t="n"/>
    </row>
    <row r="809">
      <c r="Q809" s="96" t="n"/>
    </row>
    <row r="810">
      <c r="Q810" s="96" t="n"/>
    </row>
    <row r="811">
      <c r="Q811" s="96" t="n"/>
    </row>
    <row r="812">
      <c r="Q812" s="96" t="n"/>
    </row>
    <row r="813">
      <c r="Q813" s="96" t="n"/>
    </row>
    <row r="814">
      <c r="Q814" s="96" t="n"/>
    </row>
    <row r="815">
      <c r="Q815" s="96" t="n"/>
    </row>
    <row r="816">
      <c r="Q816" s="96" t="n"/>
    </row>
    <row r="817">
      <c r="Q817" s="96" t="n"/>
    </row>
    <row r="818">
      <c r="Q818" s="96" t="n"/>
    </row>
    <row r="819">
      <c r="Q819" s="96" t="n"/>
    </row>
    <row r="820">
      <c r="Q820" s="96" t="n"/>
    </row>
    <row r="821">
      <c r="Q821" s="96" t="n"/>
    </row>
    <row r="822">
      <c r="Q822" s="96" t="n"/>
    </row>
    <row r="823">
      <c r="Q823" s="96" t="n"/>
    </row>
    <row r="824">
      <c r="Q824" s="96" t="n"/>
    </row>
    <row r="825">
      <c r="Q825" s="96" t="n"/>
    </row>
    <row r="826">
      <c r="Q826" s="96" t="n"/>
    </row>
    <row r="827">
      <c r="Q827" s="96" t="n"/>
    </row>
    <row r="828">
      <c r="Q828" s="96" t="n"/>
    </row>
    <row r="829">
      <c r="Q829" s="96" t="n"/>
    </row>
    <row r="830">
      <c r="Q830" s="96" t="n"/>
    </row>
    <row r="831">
      <c r="Q831" s="96" t="n"/>
    </row>
    <row r="832">
      <c r="Q832" s="96" t="n"/>
    </row>
    <row r="833">
      <c r="Q833" s="96" t="n"/>
    </row>
    <row r="834">
      <c r="Q834" s="96" t="n"/>
    </row>
    <row r="835">
      <c r="Q835" s="96" t="n"/>
    </row>
    <row r="836">
      <c r="Q836" s="96" t="n"/>
    </row>
    <row r="837">
      <c r="Q837" s="96" t="n"/>
    </row>
    <row r="838">
      <c r="Q838" s="96" t="n"/>
    </row>
    <row r="839">
      <c r="Q839" s="96" t="n"/>
    </row>
    <row r="840">
      <c r="Q840" s="96" t="n"/>
    </row>
    <row r="841">
      <c r="Q841" s="96" t="n"/>
    </row>
    <row r="842">
      <c r="Q842" s="96" t="n"/>
    </row>
    <row r="843">
      <c r="Q843" s="96" t="n"/>
    </row>
    <row r="844">
      <c r="Q844" s="96" t="n"/>
    </row>
    <row r="845">
      <c r="Q845" s="96" t="n"/>
    </row>
    <row r="846">
      <c r="Q846" s="96" t="n"/>
    </row>
    <row r="847">
      <c r="Q847" s="96" t="n"/>
    </row>
    <row r="848">
      <c r="Q848" s="96" t="n"/>
    </row>
    <row r="849">
      <c r="Q849" s="96" t="n"/>
    </row>
    <row r="850">
      <c r="Q850" s="96" t="n"/>
    </row>
    <row r="851">
      <c r="Q851" s="96" t="n"/>
    </row>
    <row r="852">
      <c r="Q852" s="96" t="n"/>
    </row>
    <row r="853">
      <c r="Q853" s="96" t="n"/>
    </row>
    <row r="854">
      <c r="Q854" s="96" t="n"/>
    </row>
    <row r="855">
      <c r="Q855" s="96" t="n"/>
    </row>
    <row r="856">
      <c r="Q856" s="96" t="n"/>
    </row>
    <row r="857">
      <c r="Q857" s="96" t="n"/>
    </row>
    <row r="858">
      <c r="Q858" s="96" t="n"/>
    </row>
    <row r="859">
      <c r="Q859" s="96" t="n"/>
    </row>
    <row r="860">
      <c r="Q860" s="96" t="n"/>
    </row>
    <row r="861">
      <c r="Q861" s="96" t="n"/>
    </row>
    <row r="862">
      <c r="Q862" s="96" t="n"/>
    </row>
    <row r="863">
      <c r="Q863" s="96" t="n"/>
    </row>
    <row r="864">
      <c r="Q864" s="96" t="n"/>
    </row>
    <row r="865">
      <c r="Q865" s="96" t="n"/>
    </row>
    <row r="866">
      <c r="Q866" s="96" t="n"/>
    </row>
    <row r="867">
      <c r="Q867" s="96" t="n"/>
    </row>
    <row r="868">
      <c r="Q868" s="96" t="n"/>
    </row>
    <row r="869">
      <c r="Q869" s="96" t="n"/>
    </row>
    <row r="870">
      <c r="Q870" s="96" t="n"/>
    </row>
    <row r="871">
      <c r="Q871" s="96" t="n"/>
    </row>
    <row r="872">
      <c r="Q872" s="96" t="n"/>
    </row>
    <row r="873">
      <c r="Q873" s="96" t="n"/>
    </row>
    <row r="874">
      <c r="Q874" s="96" t="n"/>
    </row>
    <row r="875">
      <c r="Q875" s="96" t="n"/>
    </row>
    <row r="876">
      <c r="Q876" s="96" t="n"/>
    </row>
    <row r="877">
      <c r="Q877" s="96" t="n"/>
    </row>
    <row r="878">
      <c r="Q878" s="96" t="n"/>
    </row>
    <row r="879">
      <c r="Q879" s="96" t="n"/>
    </row>
    <row r="880">
      <c r="Q880" s="96" t="n"/>
    </row>
    <row r="881">
      <c r="Q881" s="96" t="n"/>
    </row>
    <row r="882">
      <c r="Q882" s="96" t="n"/>
    </row>
    <row r="883">
      <c r="Q883" s="96" t="n"/>
    </row>
    <row r="884">
      <c r="Q884" s="96" t="n"/>
    </row>
    <row r="885">
      <c r="Q885" s="96" t="n"/>
    </row>
    <row r="886">
      <c r="Q886" s="96" t="n"/>
    </row>
    <row r="887">
      <c r="Q887" s="96" t="n"/>
    </row>
    <row r="888">
      <c r="Q888" s="96" t="n"/>
    </row>
    <row r="889">
      <c r="Q889" s="96" t="n"/>
    </row>
    <row r="890">
      <c r="Q890" s="96" t="n"/>
    </row>
    <row r="891">
      <c r="Q891" s="96" t="n"/>
    </row>
    <row r="892">
      <c r="Q892" s="96" t="n"/>
    </row>
    <row r="893">
      <c r="Q893" s="96" t="n"/>
    </row>
    <row r="894">
      <c r="Q894" s="96" t="n"/>
    </row>
    <row r="895">
      <c r="Q895" s="96" t="n"/>
    </row>
    <row r="896">
      <c r="Q896" s="96" t="n"/>
    </row>
    <row r="897">
      <c r="Q897" s="96" t="n"/>
    </row>
    <row r="898">
      <c r="Q898" s="96" t="n"/>
    </row>
    <row r="899">
      <c r="Q899" s="96" t="n"/>
    </row>
    <row r="900">
      <c r="Q900" s="96" t="n"/>
    </row>
    <row r="901">
      <c r="Q901" s="96" t="n"/>
    </row>
    <row r="902">
      <c r="Q902" s="96" t="n"/>
    </row>
    <row r="903">
      <c r="Q903" s="96" t="n"/>
    </row>
    <row r="904">
      <c r="Q904" s="96" t="n"/>
    </row>
    <row r="905">
      <c r="Q905" s="96" t="n"/>
    </row>
    <row r="906">
      <c r="Q906" s="96" t="n"/>
    </row>
    <row r="907">
      <c r="Q907" s="96" t="n"/>
    </row>
    <row r="908">
      <c r="Q908" s="96" t="n"/>
    </row>
    <row r="909">
      <c r="Q909" s="96" t="n"/>
    </row>
    <row r="910">
      <c r="Q910" s="96" t="n"/>
    </row>
    <row r="911">
      <c r="Q911" s="96" t="n"/>
    </row>
    <row r="912">
      <c r="Q912" s="96" t="n"/>
    </row>
    <row r="913">
      <c r="Q913" s="96" t="n"/>
    </row>
    <row r="914">
      <c r="Q914" s="96" t="n"/>
    </row>
    <row r="915">
      <c r="Q915" s="96" t="n"/>
    </row>
    <row r="916">
      <c r="Q916" s="96" t="n"/>
    </row>
    <row r="917">
      <c r="Q917" s="96" t="n"/>
    </row>
    <row r="918">
      <c r="Q918" s="96" t="n"/>
    </row>
    <row r="919">
      <c r="Q919" s="96" t="n"/>
    </row>
    <row r="920">
      <c r="Q920" s="96" t="n"/>
    </row>
    <row r="921">
      <c r="Q921" s="96" t="n"/>
    </row>
    <row r="922">
      <c r="Q922" s="96" t="n"/>
    </row>
    <row r="923">
      <c r="Q923" s="96" t="n"/>
    </row>
    <row r="924">
      <c r="Q924" s="96" t="n"/>
    </row>
    <row r="925">
      <c r="Q925" s="96" t="n"/>
    </row>
    <row r="926">
      <c r="Q926" s="96" t="n"/>
    </row>
    <row r="927">
      <c r="Q927" s="96" t="n"/>
    </row>
    <row r="928">
      <c r="Q928" s="96" t="n"/>
    </row>
    <row r="929">
      <c r="Q929" s="96" t="n"/>
    </row>
    <row r="930">
      <c r="Q930" s="96" t="n"/>
    </row>
    <row r="931">
      <c r="Q931" s="96" t="n"/>
    </row>
    <row r="932">
      <c r="Q932" s="96" t="n"/>
    </row>
    <row r="933">
      <c r="Q933" s="96" t="n"/>
    </row>
    <row r="934">
      <c r="Q934" s="96" t="n"/>
    </row>
    <row r="935">
      <c r="Q935" s="96" t="n"/>
    </row>
    <row r="936">
      <c r="Q936" s="96" t="n"/>
    </row>
    <row r="937">
      <c r="Q937" s="96" t="n"/>
    </row>
    <row r="938">
      <c r="Q938" s="96" t="n"/>
    </row>
    <row r="939">
      <c r="Q939" s="96" t="n"/>
    </row>
    <row r="940">
      <c r="Q940" s="96" t="n"/>
    </row>
    <row r="941">
      <c r="Q941" s="96" t="n"/>
    </row>
    <row r="942">
      <c r="Q942" s="96" t="n"/>
    </row>
    <row r="943">
      <c r="Q943" s="96" t="n"/>
    </row>
    <row r="944">
      <c r="Q944" s="96" t="n"/>
    </row>
    <row r="945">
      <c r="Q945" s="96" t="n"/>
    </row>
    <row r="946">
      <c r="Q946" s="96" t="n"/>
    </row>
    <row r="947">
      <c r="Q947" s="96" t="n"/>
    </row>
    <row r="948">
      <c r="Q948" s="96" t="n"/>
    </row>
    <row r="949">
      <c r="Q949" s="96" t="n"/>
    </row>
    <row r="950">
      <c r="Q950" s="96" t="n"/>
    </row>
    <row r="951">
      <c r="Q951" s="96" t="n"/>
    </row>
    <row r="952">
      <c r="Q952" s="96" t="n"/>
    </row>
    <row r="953">
      <c r="Q953" s="96" t="n"/>
    </row>
    <row r="954">
      <c r="Q954" s="96" t="n"/>
    </row>
    <row r="955">
      <c r="Q955" s="96" t="n"/>
    </row>
    <row r="956">
      <c r="Q956" s="96" t="n"/>
    </row>
    <row r="957">
      <c r="Q957" s="96" t="n"/>
    </row>
    <row r="958">
      <c r="Q958" s="96" t="n"/>
    </row>
    <row r="959">
      <c r="Q959" s="96" t="n"/>
    </row>
    <row r="960">
      <c r="Q960" s="96" t="n"/>
    </row>
    <row r="961">
      <c r="Q961" s="96" t="n"/>
    </row>
    <row r="962">
      <c r="Q962" s="96" t="n"/>
    </row>
    <row r="963">
      <c r="Q963" s="96" t="n"/>
    </row>
    <row r="964">
      <c r="Q964" s="96" t="n"/>
    </row>
    <row r="965">
      <c r="Q965" s="96" t="n"/>
    </row>
    <row r="966">
      <c r="Q966" s="96" t="n"/>
    </row>
    <row r="967">
      <c r="Q967" s="96" t="n"/>
    </row>
    <row r="968">
      <c r="Q968" s="96" t="n"/>
    </row>
    <row r="969">
      <c r="Q969" s="96" t="n"/>
    </row>
    <row r="970">
      <c r="Q970" s="96" t="n"/>
    </row>
    <row r="971">
      <c r="Q971" s="96" t="n"/>
    </row>
    <row r="972">
      <c r="Q972" s="96" t="n"/>
    </row>
    <row r="973">
      <c r="Q973" s="96" t="n"/>
    </row>
    <row r="974">
      <c r="Q974" s="96" t="n"/>
    </row>
    <row r="975">
      <c r="Q975" s="96" t="n"/>
    </row>
    <row r="976">
      <c r="Q976" s="96" t="n"/>
    </row>
    <row r="977">
      <c r="Q977" s="96" t="n"/>
    </row>
    <row r="978">
      <c r="Q978" s="96" t="n"/>
    </row>
    <row r="979">
      <c r="Q979" s="96" t="n"/>
    </row>
    <row r="980">
      <c r="Q980" s="96" t="n"/>
    </row>
    <row r="981">
      <c r="Q981" s="96" t="n"/>
    </row>
    <row r="982">
      <c r="Q982" s="96" t="n"/>
    </row>
    <row r="983">
      <c r="Q983" s="96" t="n"/>
    </row>
    <row r="984">
      <c r="Q984" s="96" t="n"/>
    </row>
    <row r="985">
      <c r="Q985" s="96" t="n"/>
    </row>
    <row r="986">
      <c r="Q986" s="96" t="n"/>
    </row>
    <row r="987">
      <c r="Q987" s="96" t="n"/>
    </row>
    <row r="988">
      <c r="Q988" s="96" t="n"/>
    </row>
    <row r="989">
      <c r="Q989" s="96" t="n"/>
    </row>
    <row r="990">
      <c r="Q990" s="96" t="n"/>
    </row>
    <row r="991">
      <c r="Q991" s="96" t="n"/>
    </row>
    <row r="992">
      <c r="Q992" s="96" t="n"/>
    </row>
    <row r="993">
      <c r="Q993" s="96" t="n"/>
    </row>
    <row r="994">
      <c r="Q994" s="96" t="n"/>
    </row>
    <row r="995">
      <c r="Q995" s="96" t="n"/>
    </row>
    <row r="996">
      <c r="Q996" s="96" t="n"/>
    </row>
    <row r="997">
      <c r="Q997" s="96" t="n"/>
    </row>
    <row r="998">
      <c r="Q998" s="96" t="n"/>
    </row>
    <row r="999">
      <c r="Q999" s="96" t="n"/>
    </row>
    <row r="1000">
      <c r="Q1000" s="9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30A0"/>
    <outlinePr summaryBelow="1" summaryRight="1"/>
    <pageSetUpPr/>
  </sheetPr>
  <dimension ref="A1:E5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101" min="1" max="1"/>
    <col width="14" customWidth="1" style="101" min="2" max="2"/>
    <col width="20" customWidth="1" style="101" min="3" max="3"/>
    <col width="14" customWidth="1" style="101" min="4" max="5"/>
    <col width="8.710000000000001" customWidth="1" style="101" min="6" max="26"/>
  </cols>
  <sheetData>
    <row r="1" ht="25.5" customHeight="1" s="101">
      <c r="A1" s="70" t="inlineStr">
        <is>
          <t>Cartão</t>
        </is>
      </c>
      <c r="B1" s="70" t="inlineStr">
        <is>
          <t>Mês/Ano</t>
        </is>
      </c>
      <c r="C1" s="70" t="inlineStr">
        <is>
          <t>Valor Fatura (R$)</t>
        </is>
      </c>
      <c r="D1" s="70" t="inlineStr">
        <is>
          <t>Vencimento</t>
        </is>
      </c>
      <c r="E1" s="70" t="inlineStr">
        <is>
          <t>Status</t>
        </is>
      </c>
    </row>
    <row r="2">
      <c r="A2" s="100" t="n"/>
      <c r="C2" s="97" t="n"/>
      <c r="D2" s="98" t="n"/>
      <c r="E2" s="100" t="n"/>
    </row>
    <row r="3">
      <c r="A3" s="100" t="n"/>
      <c r="C3" s="97" t="n"/>
      <c r="D3" s="98" t="n"/>
      <c r="E3" s="100" t="n"/>
    </row>
    <row r="4">
      <c r="A4" s="100" t="n"/>
      <c r="C4" s="97" t="n"/>
      <c r="D4" s="98" t="n"/>
      <c r="E4" s="100" t="n"/>
    </row>
    <row r="5">
      <c r="A5" s="100" t="n"/>
      <c r="C5" s="97" t="n"/>
      <c r="D5" s="98" t="n"/>
      <c r="E5" s="100" t="n"/>
    </row>
    <row r="6">
      <c r="A6" s="100" t="n"/>
      <c r="C6" s="97" t="n"/>
      <c r="D6" s="98" t="n"/>
      <c r="E6" s="100" t="n"/>
    </row>
    <row r="7">
      <c r="A7" s="100" t="n"/>
      <c r="C7" s="97" t="n"/>
      <c r="D7" s="98" t="n"/>
      <c r="E7" s="100" t="n"/>
    </row>
    <row r="8">
      <c r="A8" s="100" t="n"/>
      <c r="C8" s="97" t="n"/>
      <c r="D8" s="98" t="n"/>
      <c r="E8" s="100" t="n"/>
    </row>
    <row r="9">
      <c r="A9" s="100" t="n"/>
      <c r="C9" s="97" t="n"/>
      <c r="D9" s="98" t="n"/>
      <c r="E9" s="100" t="n"/>
    </row>
    <row r="10">
      <c r="A10" s="100" t="n"/>
      <c r="C10" s="97" t="n"/>
      <c r="D10" s="98" t="n"/>
      <c r="E10" s="100" t="n"/>
    </row>
    <row r="11">
      <c r="A11" s="100" t="n"/>
      <c r="C11" s="97" t="n"/>
      <c r="D11" s="98" t="n"/>
      <c r="E11" s="100" t="n"/>
    </row>
    <row r="12">
      <c r="A12" s="100" t="n"/>
      <c r="C12" s="97" t="n"/>
      <c r="D12" s="98" t="n"/>
      <c r="E12" s="100" t="n"/>
    </row>
    <row r="13">
      <c r="A13" s="100" t="n"/>
      <c r="C13" s="97" t="n"/>
      <c r="D13" s="98" t="n"/>
      <c r="E13" s="100" t="n"/>
    </row>
    <row r="14">
      <c r="A14" s="100" t="n"/>
      <c r="C14" s="97" t="n"/>
      <c r="D14" s="98" t="n"/>
      <c r="E14" s="100" t="n"/>
    </row>
    <row r="15">
      <c r="A15" s="100" t="n"/>
      <c r="C15" s="97" t="n"/>
      <c r="D15" s="98" t="n"/>
      <c r="E15" s="100" t="n"/>
    </row>
    <row r="16">
      <c r="A16" s="100" t="n"/>
      <c r="C16" s="97" t="n"/>
      <c r="D16" s="98" t="n"/>
      <c r="E16" s="100" t="n"/>
    </row>
    <row r="17">
      <c r="A17" s="100" t="n"/>
      <c r="C17" s="97" t="n"/>
      <c r="D17" s="98" t="n"/>
      <c r="E17" s="100" t="n"/>
    </row>
    <row r="18">
      <c r="A18" s="100" t="n"/>
      <c r="C18" s="97" t="n"/>
      <c r="D18" s="98" t="n"/>
      <c r="E18" s="100" t="n"/>
    </row>
    <row r="19">
      <c r="A19" s="100" t="n"/>
      <c r="C19" s="97" t="n"/>
      <c r="D19" s="98" t="n"/>
      <c r="E19" s="100" t="n"/>
    </row>
    <row r="20">
      <c r="A20" s="100" t="n"/>
      <c r="C20" s="97" t="n"/>
      <c r="D20" s="98" t="n"/>
      <c r="E20" s="100" t="n"/>
    </row>
    <row r="21" ht="15.75" customHeight="1" s="101">
      <c r="A21" s="100" t="n"/>
      <c r="C21" s="97" t="n"/>
      <c r="D21" s="98" t="n"/>
      <c r="E21" s="100" t="n"/>
    </row>
    <row r="22" ht="15.75" customHeight="1" s="101">
      <c r="A22" s="100" t="n"/>
      <c r="C22" s="97" t="n"/>
      <c r="D22" s="98" t="n"/>
      <c r="E22" s="100" t="n"/>
    </row>
    <row r="23" ht="15.75" customHeight="1" s="101">
      <c r="A23" s="100" t="n"/>
      <c r="C23" s="97" t="n"/>
      <c r="D23" s="98" t="n"/>
      <c r="E23" s="100" t="n"/>
    </row>
    <row r="24" ht="15.75" customHeight="1" s="101">
      <c r="A24" s="100" t="n"/>
      <c r="C24" s="97" t="n"/>
      <c r="D24" s="98" t="n"/>
      <c r="E24" s="100" t="n"/>
    </row>
    <row r="25" ht="15.75" customHeight="1" s="101">
      <c r="A25" s="100" t="n"/>
      <c r="C25" s="97" t="n"/>
      <c r="D25" s="98" t="n"/>
      <c r="E25" s="100" t="n"/>
    </row>
    <row r="26" ht="15.75" customHeight="1" s="101">
      <c r="A26" s="100" t="n"/>
      <c r="C26" s="97" t="n"/>
      <c r="D26" s="98" t="n"/>
      <c r="E26" s="100" t="n"/>
    </row>
    <row r="27" ht="15.75" customHeight="1" s="101">
      <c r="A27" s="100" t="n"/>
      <c r="C27" s="97" t="n"/>
      <c r="D27" s="98" t="n"/>
      <c r="E27" s="100" t="n"/>
    </row>
    <row r="28" ht="15.75" customHeight="1" s="101">
      <c r="A28" s="100" t="n"/>
      <c r="C28" s="97" t="n"/>
      <c r="D28" s="98" t="n"/>
      <c r="E28" s="100" t="n"/>
    </row>
    <row r="29" ht="15.75" customHeight="1" s="101">
      <c r="A29" s="100" t="n"/>
      <c r="C29" s="97" t="n"/>
      <c r="D29" s="98" t="n"/>
      <c r="E29" s="100" t="n"/>
    </row>
    <row r="30" ht="15.75" customHeight="1" s="101">
      <c r="A30" s="100" t="n"/>
      <c r="C30" s="97" t="n"/>
      <c r="D30" s="98" t="n"/>
      <c r="E30" s="100" t="n"/>
    </row>
    <row r="31" ht="15.75" customHeight="1" s="101">
      <c r="A31" s="100" t="n"/>
      <c r="C31" s="97" t="n"/>
      <c r="D31" s="98" t="n"/>
      <c r="E31" s="100" t="n"/>
    </row>
    <row r="32" ht="15.75" customHeight="1" s="101">
      <c r="A32" s="100" t="n"/>
      <c r="C32" s="97" t="n"/>
      <c r="D32" s="98" t="n"/>
      <c r="E32" s="100" t="n"/>
    </row>
    <row r="33" ht="15.75" customHeight="1" s="101">
      <c r="A33" s="100" t="n"/>
      <c r="C33" s="97" t="n"/>
      <c r="D33" s="98" t="n"/>
      <c r="E33" s="100" t="n"/>
    </row>
    <row r="34" ht="15.75" customHeight="1" s="101">
      <c r="A34" s="100" t="n"/>
      <c r="C34" s="97" t="n"/>
      <c r="D34" s="98" t="n"/>
      <c r="E34" s="100" t="n"/>
    </row>
    <row r="35" ht="15.75" customHeight="1" s="101">
      <c r="A35" s="100" t="n"/>
      <c r="C35" s="97" t="n"/>
      <c r="D35" s="98" t="n"/>
      <c r="E35" s="100" t="n"/>
    </row>
    <row r="36" ht="15.75" customHeight="1" s="101">
      <c r="A36" s="100" t="n"/>
      <c r="C36" s="97" t="n"/>
      <c r="D36" s="98" t="n"/>
      <c r="E36" s="100" t="n"/>
    </row>
    <row r="37" ht="15.75" customHeight="1" s="101">
      <c r="A37" s="100" t="n"/>
      <c r="C37" s="97" t="n"/>
      <c r="D37" s="98" t="n"/>
      <c r="E37" s="100" t="n"/>
    </row>
    <row r="38" ht="15.75" customHeight="1" s="101">
      <c r="A38" s="100" t="n"/>
      <c r="C38" s="97" t="n"/>
      <c r="D38" s="98" t="n"/>
      <c r="E38" s="100" t="n"/>
    </row>
    <row r="39" ht="15.75" customHeight="1" s="101">
      <c r="A39" s="100" t="n"/>
      <c r="C39" s="97" t="n"/>
      <c r="D39" s="98" t="n"/>
      <c r="E39" s="100" t="n"/>
    </row>
    <row r="40" ht="15.75" customHeight="1" s="101">
      <c r="A40" s="100" t="n"/>
      <c r="C40" s="97" t="n"/>
      <c r="D40" s="98" t="n"/>
      <c r="E40" s="100" t="n"/>
    </row>
    <row r="41" ht="15.75" customHeight="1" s="101">
      <c r="A41" s="100" t="n"/>
      <c r="C41" s="97" t="n"/>
      <c r="D41" s="98" t="n"/>
      <c r="E41" s="100" t="n"/>
    </row>
    <row r="42" ht="15.75" customHeight="1" s="101">
      <c r="A42" s="100" t="n"/>
      <c r="C42" s="97" t="n"/>
      <c r="D42" s="98" t="n"/>
      <c r="E42" s="100" t="n"/>
    </row>
    <row r="43" ht="15.75" customHeight="1" s="101">
      <c r="A43" s="100" t="n"/>
      <c r="C43" s="97" t="n"/>
      <c r="D43" s="98" t="n"/>
      <c r="E43" s="100" t="n"/>
    </row>
    <row r="44" ht="15.75" customHeight="1" s="101">
      <c r="A44" s="100" t="n"/>
      <c r="C44" s="97" t="n"/>
      <c r="D44" s="98" t="n"/>
      <c r="E44" s="100" t="n"/>
    </row>
    <row r="45" ht="15.75" customHeight="1" s="101">
      <c r="A45" s="100" t="n"/>
      <c r="C45" s="97" t="n"/>
      <c r="D45" s="98" t="n"/>
      <c r="E45" s="100" t="n"/>
    </row>
    <row r="46" ht="15.75" customHeight="1" s="101">
      <c r="A46" s="100" t="n"/>
      <c r="C46" s="97" t="n"/>
      <c r="D46" s="98" t="n"/>
      <c r="E46" s="100" t="n"/>
    </row>
    <row r="47" ht="15.75" customHeight="1" s="101">
      <c r="A47" s="100" t="n"/>
      <c r="C47" s="97" t="n"/>
      <c r="D47" s="98" t="n"/>
      <c r="E47" s="100" t="n"/>
    </row>
    <row r="48" ht="15.75" customHeight="1" s="101">
      <c r="A48" s="100" t="n"/>
      <c r="C48" s="97" t="n"/>
      <c r="D48" s="98" t="n"/>
      <c r="E48" s="100" t="n"/>
    </row>
    <row r="49" ht="15.75" customHeight="1" s="101">
      <c r="A49" s="100" t="n"/>
      <c r="C49" s="97" t="n"/>
      <c r="D49" s="98" t="n"/>
      <c r="E49" s="100" t="n"/>
    </row>
    <row r="50" ht="15.75" customHeight="1" s="101">
      <c r="A50" s="100" t="n"/>
      <c r="C50" s="97" t="n"/>
      <c r="D50" s="98" t="n"/>
      <c r="E50" s="100" t="n"/>
    </row>
    <row r="51" ht="15.75" customHeight="1" s="101">
      <c r="A51" s="100" t="n"/>
      <c r="C51" s="97" t="n"/>
      <c r="D51" s="98" t="n"/>
      <c r="E51" s="100" t="n"/>
    </row>
    <row r="52" ht="15.75" customHeight="1" s="101">
      <c r="A52" s="100" t="n"/>
      <c r="C52" s="97" t="n"/>
      <c r="D52" s="98" t="n"/>
      <c r="E52" s="100" t="n"/>
    </row>
    <row r="53" ht="15.75" customHeight="1" s="101">
      <c r="A53" s="100" t="n"/>
      <c r="C53" s="97" t="n"/>
      <c r="D53" s="98" t="n"/>
      <c r="E53" s="100" t="n"/>
    </row>
    <row r="54" ht="15.75" customHeight="1" s="101">
      <c r="A54" s="100" t="n"/>
      <c r="C54" s="97" t="n"/>
      <c r="D54" s="98" t="n"/>
      <c r="E54" s="100" t="n"/>
    </row>
    <row r="55" ht="15.75" customHeight="1" s="101">
      <c r="A55" s="100" t="n"/>
      <c r="C55" s="97" t="n"/>
      <c r="D55" s="98" t="n"/>
      <c r="E55" s="100" t="n"/>
    </row>
    <row r="56" ht="15.75" customHeight="1" s="101">
      <c r="A56" s="100" t="n"/>
      <c r="C56" s="97" t="n"/>
      <c r="D56" s="98" t="n"/>
      <c r="E56" s="100" t="n"/>
    </row>
    <row r="57" ht="15.75" customHeight="1" s="101">
      <c r="A57" s="100" t="n"/>
      <c r="C57" s="97" t="n"/>
      <c r="D57" s="98" t="n"/>
      <c r="E57" s="100" t="n"/>
    </row>
    <row r="58" ht="15.75" customHeight="1" s="101">
      <c r="A58" s="100" t="n"/>
      <c r="C58" s="97" t="n"/>
      <c r="D58" s="98" t="n"/>
      <c r="E58" s="100" t="n"/>
    </row>
    <row r="59" ht="15.75" customHeight="1" s="101">
      <c r="A59" s="100" t="n"/>
      <c r="C59" s="97" t="n"/>
      <c r="D59" s="98" t="n"/>
      <c r="E59" s="100" t="n"/>
    </row>
    <row r="60" ht="15.75" customHeight="1" s="101">
      <c r="A60" s="100" t="n"/>
      <c r="C60" s="97" t="n"/>
      <c r="D60" s="98" t="n"/>
      <c r="E60" s="100" t="n"/>
    </row>
    <row r="61" ht="15.75" customHeight="1" s="101">
      <c r="A61" s="100" t="n"/>
      <c r="C61" s="97" t="n"/>
      <c r="D61" s="98" t="n"/>
      <c r="E61" s="100" t="n"/>
    </row>
    <row r="62" ht="15.75" customHeight="1" s="101">
      <c r="A62" s="100" t="n"/>
      <c r="C62" s="97" t="n"/>
      <c r="D62" s="98" t="n"/>
      <c r="E62" s="100" t="n"/>
    </row>
    <row r="63" ht="15.75" customHeight="1" s="101">
      <c r="A63" s="100" t="n"/>
      <c r="C63" s="97" t="n"/>
      <c r="D63" s="98" t="n"/>
      <c r="E63" s="100" t="n"/>
    </row>
    <row r="64" ht="15.75" customHeight="1" s="101">
      <c r="A64" s="100" t="n"/>
      <c r="C64" s="97" t="n"/>
      <c r="D64" s="98" t="n"/>
      <c r="E64" s="100" t="n"/>
    </row>
    <row r="65" ht="15.75" customHeight="1" s="101">
      <c r="A65" s="100" t="n"/>
      <c r="C65" s="97" t="n"/>
      <c r="D65" s="98" t="n"/>
      <c r="E65" s="100" t="n"/>
    </row>
    <row r="66" ht="15.75" customHeight="1" s="101">
      <c r="A66" s="100" t="n"/>
      <c r="C66" s="97" t="n"/>
      <c r="D66" s="98" t="n"/>
      <c r="E66" s="100" t="n"/>
    </row>
    <row r="67" ht="15.75" customHeight="1" s="101">
      <c r="A67" s="100" t="n"/>
      <c r="C67" s="97" t="n"/>
      <c r="D67" s="98" t="n"/>
      <c r="E67" s="100" t="n"/>
    </row>
    <row r="68" ht="15.75" customHeight="1" s="101">
      <c r="A68" s="100" t="n"/>
      <c r="C68" s="97" t="n"/>
      <c r="D68" s="98" t="n"/>
      <c r="E68" s="100" t="n"/>
    </row>
    <row r="69" ht="15.75" customHeight="1" s="101">
      <c r="A69" s="100" t="n"/>
      <c r="C69" s="97" t="n"/>
      <c r="D69" s="98" t="n"/>
      <c r="E69" s="100" t="n"/>
    </row>
    <row r="70" ht="15.75" customHeight="1" s="101">
      <c r="A70" s="100" t="n"/>
      <c r="C70" s="97" t="n"/>
      <c r="D70" s="98" t="n"/>
      <c r="E70" s="100" t="n"/>
    </row>
    <row r="71" ht="15.75" customHeight="1" s="101">
      <c r="A71" s="100" t="n"/>
      <c r="C71" s="97" t="n"/>
      <c r="D71" s="98" t="n"/>
      <c r="E71" s="100" t="n"/>
    </row>
    <row r="72" ht="15.75" customHeight="1" s="101">
      <c r="A72" s="100" t="n"/>
      <c r="C72" s="97" t="n"/>
      <c r="D72" s="98" t="n"/>
      <c r="E72" s="100" t="n"/>
    </row>
    <row r="73" ht="15.75" customHeight="1" s="101">
      <c r="A73" s="100" t="n"/>
      <c r="C73" s="97" t="n"/>
      <c r="D73" s="98" t="n"/>
      <c r="E73" s="100" t="n"/>
    </row>
    <row r="74" ht="15.75" customHeight="1" s="101">
      <c r="A74" s="100" t="n"/>
      <c r="C74" s="97" t="n"/>
      <c r="D74" s="98" t="n"/>
      <c r="E74" s="100" t="n"/>
    </row>
    <row r="75" ht="15.75" customHeight="1" s="101">
      <c r="A75" s="100" t="n"/>
      <c r="C75" s="97" t="n"/>
      <c r="D75" s="98" t="n"/>
      <c r="E75" s="100" t="n"/>
    </row>
    <row r="76" ht="15.75" customHeight="1" s="101">
      <c r="A76" s="100" t="n"/>
      <c r="C76" s="97" t="n"/>
      <c r="D76" s="98" t="n"/>
      <c r="E76" s="100" t="n"/>
    </row>
    <row r="77" ht="15.75" customHeight="1" s="101">
      <c r="A77" s="100" t="n"/>
      <c r="C77" s="97" t="n"/>
      <c r="D77" s="98" t="n"/>
      <c r="E77" s="100" t="n"/>
    </row>
    <row r="78" ht="15.75" customHeight="1" s="101">
      <c r="A78" s="100" t="n"/>
      <c r="C78" s="97" t="n"/>
      <c r="D78" s="98" t="n"/>
      <c r="E78" s="100" t="n"/>
    </row>
    <row r="79" ht="15.75" customHeight="1" s="101">
      <c r="A79" s="100" t="n"/>
      <c r="C79" s="97" t="n"/>
      <c r="D79" s="98" t="n"/>
      <c r="E79" s="100" t="n"/>
    </row>
    <row r="80" ht="15.75" customHeight="1" s="101">
      <c r="A80" s="100" t="n"/>
      <c r="C80" s="97" t="n"/>
      <c r="D80" s="98" t="n"/>
      <c r="E80" s="100" t="n"/>
    </row>
    <row r="81" ht="15.75" customHeight="1" s="101">
      <c r="A81" s="100" t="n"/>
      <c r="C81" s="97" t="n"/>
      <c r="D81" s="98" t="n"/>
      <c r="E81" s="100" t="n"/>
    </row>
    <row r="82" ht="15.75" customHeight="1" s="101">
      <c r="A82" s="100" t="n"/>
      <c r="C82" s="97" t="n"/>
      <c r="D82" s="98" t="n"/>
      <c r="E82" s="100" t="n"/>
    </row>
    <row r="83" ht="15.75" customHeight="1" s="101">
      <c r="A83" s="100" t="n"/>
      <c r="C83" s="97" t="n"/>
      <c r="D83" s="98" t="n"/>
      <c r="E83" s="100" t="n"/>
    </row>
    <row r="84" ht="15.75" customHeight="1" s="101">
      <c r="A84" s="100" t="n"/>
      <c r="C84" s="97" t="n"/>
      <c r="D84" s="98" t="n"/>
      <c r="E84" s="100" t="n"/>
    </row>
    <row r="85" ht="15.75" customHeight="1" s="101">
      <c r="A85" s="100" t="n"/>
      <c r="C85" s="97" t="n"/>
      <c r="D85" s="98" t="n"/>
      <c r="E85" s="100" t="n"/>
    </row>
    <row r="86" ht="15.75" customHeight="1" s="101">
      <c r="A86" s="100" t="n"/>
      <c r="C86" s="97" t="n"/>
      <c r="D86" s="98" t="n"/>
      <c r="E86" s="100" t="n"/>
    </row>
    <row r="87" ht="15.75" customHeight="1" s="101">
      <c r="A87" s="100" t="n"/>
      <c r="C87" s="97" t="n"/>
      <c r="D87" s="98" t="n"/>
      <c r="E87" s="100" t="n"/>
    </row>
    <row r="88" ht="15.75" customHeight="1" s="101">
      <c r="A88" s="100" t="n"/>
      <c r="C88" s="97" t="n"/>
      <c r="D88" s="98" t="n"/>
      <c r="E88" s="100" t="n"/>
    </row>
    <row r="89" ht="15.75" customHeight="1" s="101">
      <c r="A89" s="100" t="n"/>
      <c r="C89" s="97" t="n"/>
      <c r="D89" s="98" t="n"/>
      <c r="E89" s="100" t="n"/>
    </row>
    <row r="90" ht="15.75" customHeight="1" s="101">
      <c r="A90" s="100" t="n"/>
      <c r="C90" s="97" t="n"/>
      <c r="D90" s="98" t="n"/>
      <c r="E90" s="100" t="n"/>
    </row>
    <row r="91" ht="15.75" customHeight="1" s="101">
      <c r="A91" s="100" t="n"/>
      <c r="C91" s="97" t="n"/>
      <c r="D91" s="98" t="n"/>
      <c r="E91" s="100" t="n"/>
    </row>
    <row r="92" ht="15.75" customHeight="1" s="101">
      <c r="A92" s="100" t="n"/>
      <c r="C92" s="97" t="n"/>
      <c r="D92" s="98" t="n"/>
      <c r="E92" s="100" t="n"/>
    </row>
    <row r="93" ht="15.75" customHeight="1" s="101">
      <c r="A93" s="100" t="n"/>
      <c r="C93" s="97" t="n"/>
      <c r="D93" s="98" t="n"/>
      <c r="E93" s="100" t="n"/>
    </row>
    <row r="94" ht="15.75" customHeight="1" s="101">
      <c r="A94" s="100" t="n"/>
      <c r="C94" s="97" t="n"/>
      <c r="D94" s="98" t="n"/>
      <c r="E94" s="100" t="n"/>
    </row>
    <row r="95" ht="15.75" customHeight="1" s="101">
      <c r="A95" s="100" t="n"/>
      <c r="C95" s="97" t="n"/>
      <c r="D95" s="98" t="n"/>
      <c r="E95" s="100" t="n"/>
    </row>
    <row r="96" ht="15.75" customHeight="1" s="101">
      <c r="A96" s="100" t="n"/>
      <c r="C96" s="97" t="n"/>
      <c r="D96" s="98" t="n"/>
      <c r="E96" s="100" t="n"/>
    </row>
    <row r="97" ht="15.75" customHeight="1" s="101">
      <c r="A97" s="100" t="n"/>
      <c r="C97" s="97" t="n"/>
      <c r="D97" s="98" t="n"/>
      <c r="E97" s="100" t="n"/>
    </row>
    <row r="98" ht="15.75" customHeight="1" s="101">
      <c r="A98" s="100" t="n"/>
      <c r="C98" s="97" t="n"/>
      <c r="D98" s="98" t="n"/>
      <c r="E98" s="100" t="n"/>
    </row>
    <row r="99" ht="15.75" customHeight="1" s="101">
      <c r="A99" s="100" t="n"/>
      <c r="C99" s="97" t="n"/>
      <c r="D99" s="98" t="n"/>
      <c r="E99" s="100" t="n"/>
    </row>
    <row r="100" ht="15.75" customHeight="1" s="101">
      <c r="A100" s="100" t="n"/>
      <c r="C100" s="97" t="n"/>
      <c r="D100" s="98" t="n"/>
      <c r="E100" s="100" t="n"/>
    </row>
    <row r="101" ht="15.75" customHeight="1" s="101">
      <c r="A101" s="100" t="n"/>
      <c r="C101" s="97" t="n"/>
      <c r="D101" s="98" t="n"/>
      <c r="E101" s="100" t="n"/>
    </row>
    <row r="102" ht="15.75" customHeight="1" s="101">
      <c r="A102" s="100" t="n"/>
      <c r="C102" s="97" t="n"/>
      <c r="D102" s="98" t="n"/>
      <c r="E102" s="100" t="n"/>
    </row>
    <row r="103" ht="15.75" customHeight="1" s="101">
      <c r="A103" s="100" t="n"/>
      <c r="C103" s="97" t="n"/>
      <c r="D103" s="98" t="n"/>
      <c r="E103" s="100" t="n"/>
    </row>
    <row r="104" ht="15.75" customHeight="1" s="101">
      <c r="A104" s="100" t="n"/>
      <c r="C104" s="97" t="n"/>
      <c r="D104" s="98" t="n"/>
      <c r="E104" s="100" t="n"/>
    </row>
    <row r="105" ht="15.75" customHeight="1" s="101">
      <c r="A105" s="100" t="n"/>
      <c r="C105" s="97" t="n"/>
      <c r="D105" s="98" t="n"/>
      <c r="E105" s="100" t="n"/>
    </row>
    <row r="106" ht="15.75" customHeight="1" s="101">
      <c r="A106" s="100" t="n"/>
      <c r="C106" s="97" t="n"/>
      <c r="D106" s="98" t="n"/>
      <c r="E106" s="100" t="n"/>
    </row>
    <row r="107" ht="15.75" customHeight="1" s="101">
      <c r="A107" s="100" t="n"/>
      <c r="C107" s="97" t="n"/>
      <c r="D107" s="98" t="n"/>
      <c r="E107" s="100" t="n"/>
    </row>
    <row r="108" ht="15.75" customHeight="1" s="101">
      <c r="A108" s="100" t="n"/>
      <c r="C108" s="97" t="n"/>
      <c r="D108" s="98" t="n"/>
      <c r="E108" s="100" t="n"/>
    </row>
    <row r="109" ht="15.75" customHeight="1" s="101">
      <c r="A109" s="100" t="n"/>
      <c r="C109" s="97" t="n"/>
      <c r="D109" s="98" t="n"/>
      <c r="E109" s="100" t="n"/>
    </row>
    <row r="110" ht="15.75" customHeight="1" s="101">
      <c r="A110" s="100" t="n"/>
      <c r="C110" s="97" t="n"/>
      <c r="D110" s="98" t="n"/>
      <c r="E110" s="100" t="n"/>
    </row>
    <row r="111" ht="15.75" customHeight="1" s="101">
      <c r="A111" s="100" t="n"/>
      <c r="C111" s="97" t="n"/>
      <c r="D111" s="98" t="n"/>
      <c r="E111" s="100" t="n"/>
    </row>
    <row r="112" ht="15.75" customHeight="1" s="101">
      <c r="A112" s="100" t="n"/>
      <c r="C112" s="97" t="n"/>
      <c r="D112" s="98" t="n"/>
      <c r="E112" s="100" t="n"/>
    </row>
    <row r="113" ht="15.75" customHeight="1" s="101">
      <c r="A113" s="100" t="n"/>
      <c r="C113" s="97" t="n"/>
      <c r="D113" s="98" t="n"/>
      <c r="E113" s="100" t="n"/>
    </row>
    <row r="114" ht="15.75" customHeight="1" s="101">
      <c r="A114" s="100" t="n"/>
      <c r="C114" s="97" t="n"/>
      <c r="D114" s="98" t="n"/>
      <c r="E114" s="100" t="n"/>
    </row>
    <row r="115" ht="15.75" customHeight="1" s="101">
      <c r="A115" s="100" t="n"/>
      <c r="C115" s="97" t="n"/>
      <c r="D115" s="98" t="n"/>
      <c r="E115" s="100" t="n"/>
    </row>
    <row r="116" ht="15.75" customHeight="1" s="101">
      <c r="A116" s="100" t="n"/>
      <c r="C116" s="97" t="n"/>
      <c r="D116" s="98" t="n"/>
      <c r="E116" s="100" t="n"/>
    </row>
    <row r="117" ht="15.75" customHeight="1" s="101">
      <c r="A117" s="100" t="n"/>
      <c r="C117" s="97" t="n"/>
      <c r="D117" s="98" t="n"/>
      <c r="E117" s="100" t="n"/>
    </row>
    <row r="118" ht="15.75" customHeight="1" s="101">
      <c r="A118" s="100" t="n"/>
      <c r="C118" s="97" t="n"/>
      <c r="D118" s="98" t="n"/>
      <c r="E118" s="100" t="n"/>
    </row>
    <row r="119" ht="15.75" customHeight="1" s="101">
      <c r="A119" s="100" t="n"/>
      <c r="C119" s="97" t="n"/>
      <c r="D119" s="98" t="n"/>
      <c r="E119" s="100" t="n"/>
    </row>
    <row r="120" ht="15.75" customHeight="1" s="101">
      <c r="A120" s="100" t="n"/>
      <c r="C120" s="97" t="n"/>
      <c r="D120" s="98" t="n"/>
      <c r="E120" s="100" t="n"/>
    </row>
    <row r="121" ht="15.75" customHeight="1" s="101">
      <c r="A121" s="100" t="n"/>
      <c r="C121" s="97" t="n"/>
      <c r="D121" s="98" t="n"/>
      <c r="E121" s="100" t="n"/>
    </row>
    <row r="122" ht="15.75" customHeight="1" s="101">
      <c r="A122" s="100" t="n"/>
      <c r="C122" s="97" t="n"/>
      <c r="D122" s="98" t="n"/>
      <c r="E122" s="100" t="n"/>
    </row>
    <row r="123" ht="15.75" customHeight="1" s="101">
      <c r="A123" s="100" t="n"/>
      <c r="C123" s="97" t="n"/>
      <c r="D123" s="98" t="n"/>
      <c r="E123" s="100" t="n"/>
    </row>
    <row r="124" ht="15.75" customHeight="1" s="101">
      <c r="A124" s="100" t="n"/>
      <c r="C124" s="97" t="n"/>
      <c r="D124" s="98" t="n"/>
      <c r="E124" s="100" t="n"/>
    </row>
    <row r="125" ht="15.75" customHeight="1" s="101">
      <c r="A125" s="100" t="n"/>
      <c r="C125" s="97" t="n"/>
      <c r="D125" s="98" t="n"/>
      <c r="E125" s="100" t="n"/>
    </row>
    <row r="126" ht="15.75" customHeight="1" s="101">
      <c r="A126" s="100" t="n"/>
      <c r="C126" s="97" t="n"/>
      <c r="D126" s="98" t="n"/>
      <c r="E126" s="100" t="n"/>
    </row>
    <row r="127" ht="15.75" customHeight="1" s="101">
      <c r="A127" s="100" t="n"/>
      <c r="C127" s="97" t="n"/>
      <c r="D127" s="98" t="n"/>
      <c r="E127" s="100" t="n"/>
    </row>
    <row r="128" ht="15.75" customHeight="1" s="101">
      <c r="A128" s="100" t="n"/>
      <c r="C128" s="97" t="n"/>
      <c r="D128" s="98" t="n"/>
      <c r="E128" s="100" t="n"/>
    </row>
    <row r="129" ht="15.75" customHeight="1" s="101">
      <c r="A129" s="100" t="n"/>
      <c r="C129" s="97" t="n"/>
      <c r="D129" s="98" t="n"/>
      <c r="E129" s="100" t="n"/>
    </row>
    <row r="130" ht="15.75" customHeight="1" s="101">
      <c r="A130" s="100" t="n"/>
      <c r="C130" s="97" t="n"/>
      <c r="D130" s="98" t="n"/>
      <c r="E130" s="100" t="n"/>
    </row>
    <row r="131" ht="15.75" customHeight="1" s="101">
      <c r="A131" s="100" t="n"/>
      <c r="C131" s="97" t="n"/>
      <c r="D131" s="98" t="n"/>
      <c r="E131" s="100" t="n"/>
    </row>
    <row r="132" ht="15.75" customHeight="1" s="101">
      <c r="A132" s="100" t="n"/>
      <c r="C132" s="97" t="n"/>
      <c r="D132" s="98" t="n"/>
      <c r="E132" s="100" t="n"/>
    </row>
    <row r="133" ht="15.75" customHeight="1" s="101">
      <c r="A133" s="100" t="n"/>
      <c r="C133" s="97" t="n"/>
      <c r="D133" s="98" t="n"/>
      <c r="E133" s="100" t="n"/>
    </row>
    <row r="134" ht="15.75" customHeight="1" s="101">
      <c r="A134" s="100" t="n"/>
      <c r="C134" s="97" t="n"/>
      <c r="D134" s="98" t="n"/>
      <c r="E134" s="100" t="n"/>
    </row>
    <row r="135" ht="15.75" customHeight="1" s="101">
      <c r="A135" s="100" t="n"/>
      <c r="C135" s="97" t="n"/>
      <c r="D135" s="98" t="n"/>
      <c r="E135" s="100" t="n"/>
    </row>
    <row r="136" ht="15.75" customHeight="1" s="101">
      <c r="A136" s="100" t="n"/>
      <c r="C136" s="97" t="n"/>
      <c r="D136" s="98" t="n"/>
      <c r="E136" s="100" t="n"/>
    </row>
    <row r="137" ht="15.75" customHeight="1" s="101">
      <c r="A137" s="100" t="n"/>
      <c r="C137" s="97" t="n"/>
      <c r="D137" s="98" t="n"/>
      <c r="E137" s="100" t="n"/>
    </row>
    <row r="138" ht="15.75" customHeight="1" s="101">
      <c r="A138" s="100" t="n"/>
      <c r="C138" s="97" t="n"/>
      <c r="D138" s="98" t="n"/>
      <c r="E138" s="100" t="n"/>
    </row>
    <row r="139" ht="15.75" customHeight="1" s="101">
      <c r="A139" s="100" t="n"/>
      <c r="C139" s="97" t="n"/>
      <c r="D139" s="98" t="n"/>
      <c r="E139" s="100" t="n"/>
    </row>
    <row r="140" ht="15.75" customHeight="1" s="101">
      <c r="A140" s="100" t="n"/>
      <c r="C140" s="97" t="n"/>
      <c r="D140" s="98" t="n"/>
      <c r="E140" s="100" t="n"/>
    </row>
    <row r="141" ht="15.75" customHeight="1" s="101">
      <c r="A141" s="100" t="n"/>
      <c r="C141" s="97" t="n"/>
      <c r="D141" s="98" t="n"/>
      <c r="E141" s="100" t="n"/>
    </row>
    <row r="142" ht="15.75" customHeight="1" s="101">
      <c r="A142" s="100" t="n"/>
      <c r="C142" s="97" t="n"/>
      <c r="D142" s="98" t="n"/>
      <c r="E142" s="100" t="n"/>
    </row>
    <row r="143" ht="15.75" customHeight="1" s="101">
      <c r="A143" s="100" t="n"/>
      <c r="C143" s="97" t="n"/>
      <c r="D143" s="98" t="n"/>
      <c r="E143" s="100" t="n"/>
    </row>
    <row r="144" ht="15.75" customHeight="1" s="101">
      <c r="A144" s="100" t="n"/>
      <c r="C144" s="97" t="n"/>
      <c r="D144" s="98" t="n"/>
      <c r="E144" s="100" t="n"/>
    </row>
    <row r="145" ht="15.75" customHeight="1" s="101">
      <c r="A145" s="100" t="n"/>
      <c r="C145" s="97" t="n"/>
      <c r="D145" s="98" t="n"/>
      <c r="E145" s="100" t="n"/>
    </row>
    <row r="146" ht="15.75" customHeight="1" s="101">
      <c r="A146" s="100" t="n"/>
      <c r="C146" s="97" t="n"/>
      <c r="D146" s="98" t="n"/>
      <c r="E146" s="100" t="n"/>
    </row>
    <row r="147" ht="15.75" customHeight="1" s="101">
      <c r="A147" s="100" t="n"/>
      <c r="C147" s="97" t="n"/>
      <c r="D147" s="98" t="n"/>
      <c r="E147" s="100" t="n"/>
    </row>
    <row r="148" ht="15.75" customHeight="1" s="101">
      <c r="A148" s="100" t="n"/>
      <c r="C148" s="97" t="n"/>
      <c r="D148" s="98" t="n"/>
      <c r="E148" s="100" t="n"/>
    </row>
    <row r="149" ht="15.75" customHeight="1" s="101">
      <c r="A149" s="100" t="n"/>
      <c r="C149" s="97" t="n"/>
      <c r="D149" s="98" t="n"/>
      <c r="E149" s="100" t="n"/>
    </row>
    <row r="150" ht="15.75" customHeight="1" s="101">
      <c r="A150" s="100" t="n"/>
      <c r="C150" s="97" t="n"/>
      <c r="D150" s="98" t="n"/>
      <c r="E150" s="100" t="n"/>
    </row>
    <row r="151" ht="15.75" customHeight="1" s="101">
      <c r="A151" s="100" t="n"/>
      <c r="C151" s="97" t="n"/>
      <c r="D151" s="98" t="n"/>
      <c r="E151" s="100" t="n"/>
    </row>
    <row r="152" ht="15.75" customHeight="1" s="101">
      <c r="A152" s="100" t="n"/>
      <c r="C152" s="97" t="n"/>
      <c r="D152" s="98" t="n"/>
      <c r="E152" s="100" t="n"/>
    </row>
    <row r="153" ht="15.75" customHeight="1" s="101">
      <c r="A153" s="100" t="n"/>
      <c r="C153" s="97" t="n"/>
      <c r="D153" s="98" t="n"/>
      <c r="E153" s="100" t="n"/>
    </row>
    <row r="154" ht="15.75" customHeight="1" s="101">
      <c r="A154" s="100" t="n"/>
      <c r="C154" s="97" t="n"/>
      <c r="D154" s="98" t="n"/>
      <c r="E154" s="100" t="n"/>
    </row>
    <row r="155" ht="15.75" customHeight="1" s="101">
      <c r="A155" s="100" t="n"/>
      <c r="C155" s="97" t="n"/>
      <c r="D155" s="98" t="n"/>
      <c r="E155" s="100" t="n"/>
    </row>
    <row r="156" ht="15.75" customHeight="1" s="101">
      <c r="A156" s="100" t="n"/>
      <c r="C156" s="97" t="n"/>
      <c r="D156" s="98" t="n"/>
      <c r="E156" s="100" t="n"/>
    </row>
    <row r="157" ht="15.75" customHeight="1" s="101">
      <c r="A157" s="100" t="n"/>
      <c r="C157" s="97" t="n"/>
      <c r="D157" s="98" t="n"/>
      <c r="E157" s="100" t="n"/>
    </row>
    <row r="158" ht="15.75" customHeight="1" s="101">
      <c r="A158" s="100" t="n"/>
      <c r="C158" s="97" t="n"/>
      <c r="D158" s="98" t="n"/>
      <c r="E158" s="100" t="n"/>
    </row>
    <row r="159" ht="15.75" customHeight="1" s="101">
      <c r="A159" s="100" t="n"/>
      <c r="C159" s="97" t="n"/>
      <c r="D159" s="98" t="n"/>
      <c r="E159" s="100" t="n"/>
    </row>
    <row r="160" ht="15.75" customHeight="1" s="101">
      <c r="A160" s="100" t="n"/>
      <c r="C160" s="97" t="n"/>
      <c r="D160" s="98" t="n"/>
      <c r="E160" s="100" t="n"/>
    </row>
    <row r="161" ht="15.75" customHeight="1" s="101">
      <c r="A161" s="100" t="n"/>
      <c r="C161" s="97" t="n"/>
      <c r="D161" s="98" t="n"/>
      <c r="E161" s="100" t="n"/>
    </row>
    <row r="162" ht="15.75" customHeight="1" s="101">
      <c r="A162" s="100" t="n"/>
      <c r="C162" s="97" t="n"/>
      <c r="D162" s="98" t="n"/>
      <c r="E162" s="100" t="n"/>
    </row>
    <row r="163" ht="15.75" customHeight="1" s="101">
      <c r="A163" s="100" t="n"/>
      <c r="C163" s="97" t="n"/>
      <c r="D163" s="98" t="n"/>
      <c r="E163" s="100" t="n"/>
    </row>
    <row r="164" ht="15.75" customHeight="1" s="101">
      <c r="A164" s="100" t="n"/>
      <c r="C164" s="97" t="n"/>
      <c r="D164" s="98" t="n"/>
      <c r="E164" s="100" t="n"/>
    </row>
    <row r="165" ht="15.75" customHeight="1" s="101">
      <c r="A165" s="100" t="n"/>
      <c r="C165" s="97" t="n"/>
      <c r="D165" s="98" t="n"/>
      <c r="E165" s="100" t="n"/>
    </row>
    <row r="166" ht="15.75" customHeight="1" s="101">
      <c r="A166" s="100" t="n"/>
      <c r="C166" s="97" t="n"/>
      <c r="D166" s="98" t="n"/>
      <c r="E166" s="100" t="n"/>
    </row>
    <row r="167" ht="15.75" customHeight="1" s="101">
      <c r="A167" s="100" t="n"/>
      <c r="C167" s="97" t="n"/>
      <c r="D167" s="98" t="n"/>
      <c r="E167" s="100" t="n"/>
    </row>
    <row r="168" ht="15.75" customHeight="1" s="101">
      <c r="A168" s="100" t="n"/>
      <c r="C168" s="97" t="n"/>
      <c r="D168" s="98" t="n"/>
      <c r="E168" s="100" t="n"/>
    </row>
    <row r="169" ht="15.75" customHeight="1" s="101">
      <c r="A169" s="100" t="n"/>
      <c r="C169" s="97" t="n"/>
      <c r="D169" s="98" t="n"/>
      <c r="E169" s="100" t="n"/>
    </row>
    <row r="170" ht="15.75" customHeight="1" s="101">
      <c r="A170" s="100" t="n"/>
      <c r="C170" s="97" t="n"/>
      <c r="D170" s="98" t="n"/>
      <c r="E170" s="100" t="n"/>
    </row>
    <row r="171" ht="15.75" customHeight="1" s="101">
      <c r="A171" s="100" t="n"/>
      <c r="C171" s="97" t="n"/>
      <c r="D171" s="98" t="n"/>
      <c r="E171" s="100" t="n"/>
    </row>
    <row r="172" ht="15.75" customHeight="1" s="101">
      <c r="A172" s="100" t="n"/>
      <c r="C172" s="97" t="n"/>
      <c r="D172" s="98" t="n"/>
      <c r="E172" s="100" t="n"/>
    </row>
    <row r="173" ht="15.75" customHeight="1" s="101">
      <c r="A173" s="100" t="n"/>
      <c r="C173" s="97" t="n"/>
      <c r="D173" s="98" t="n"/>
      <c r="E173" s="100" t="n"/>
    </row>
    <row r="174" ht="15.75" customHeight="1" s="101">
      <c r="A174" s="100" t="n"/>
      <c r="C174" s="97" t="n"/>
      <c r="D174" s="98" t="n"/>
      <c r="E174" s="100" t="n"/>
    </row>
    <row r="175" ht="15.75" customHeight="1" s="101">
      <c r="A175" s="100" t="n"/>
      <c r="C175" s="97" t="n"/>
      <c r="D175" s="98" t="n"/>
      <c r="E175" s="100" t="n"/>
    </row>
    <row r="176" ht="15.75" customHeight="1" s="101">
      <c r="A176" s="100" t="n"/>
      <c r="C176" s="97" t="n"/>
      <c r="D176" s="98" t="n"/>
      <c r="E176" s="100" t="n"/>
    </row>
    <row r="177" ht="15.75" customHeight="1" s="101">
      <c r="A177" s="100" t="n"/>
      <c r="C177" s="97" t="n"/>
      <c r="D177" s="98" t="n"/>
      <c r="E177" s="100" t="n"/>
    </row>
    <row r="178" ht="15.75" customHeight="1" s="101">
      <c r="A178" s="100" t="n"/>
      <c r="C178" s="97" t="n"/>
      <c r="D178" s="98" t="n"/>
      <c r="E178" s="100" t="n"/>
    </row>
    <row r="179" ht="15.75" customHeight="1" s="101">
      <c r="A179" s="100" t="n"/>
      <c r="C179" s="97" t="n"/>
      <c r="D179" s="98" t="n"/>
      <c r="E179" s="100" t="n"/>
    </row>
    <row r="180" ht="15.75" customHeight="1" s="101">
      <c r="A180" s="100" t="n"/>
      <c r="C180" s="97" t="n"/>
      <c r="D180" s="98" t="n"/>
      <c r="E180" s="100" t="n"/>
    </row>
    <row r="181" ht="15.75" customHeight="1" s="101">
      <c r="A181" s="100" t="n"/>
      <c r="C181" s="97" t="n"/>
      <c r="D181" s="98" t="n"/>
      <c r="E181" s="100" t="n"/>
    </row>
    <row r="182" ht="15.75" customHeight="1" s="101">
      <c r="A182" s="100" t="n"/>
      <c r="C182" s="97" t="n"/>
      <c r="D182" s="98" t="n"/>
      <c r="E182" s="100" t="n"/>
    </row>
    <row r="183" ht="15.75" customHeight="1" s="101">
      <c r="A183" s="100" t="n"/>
      <c r="C183" s="97" t="n"/>
      <c r="D183" s="98" t="n"/>
      <c r="E183" s="100" t="n"/>
    </row>
    <row r="184" ht="15.75" customHeight="1" s="101">
      <c r="A184" s="100" t="n"/>
      <c r="C184" s="97" t="n"/>
      <c r="D184" s="98" t="n"/>
      <c r="E184" s="100" t="n"/>
    </row>
    <row r="185" ht="15.75" customHeight="1" s="101">
      <c r="A185" s="100" t="n"/>
      <c r="C185" s="97" t="n"/>
      <c r="D185" s="98" t="n"/>
      <c r="E185" s="100" t="n"/>
    </row>
    <row r="186" ht="15.75" customHeight="1" s="101">
      <c r="A186" s="100" t="n"/>
      <c r="C186" s="97" t="n"/>
      <c r="D186" s="98" t="n"/>
      <c r="E186" s="100" t="n"/>
    </row>
    <row r="187" ht="15.75" customHeight="1" s="101">
      <c r="A187" s="100" t="n"/>
      <c r="C187" s="97" t="n"/>
      <c r="D187" s="98" t="n"/>
      <c r="E187" s="100" t="n"/>
    </row>
    <row r="188" ht="15.75" customHeight="1" s="101">
      <c r="A188" s="100" t="n"/>
      <c r="C188" s="97" t="n"/>
      <c r="D188" s="98" t="n"/>
      <c r="E188" s="100" t="n"/>
    </row>
    <row r="189" ht="15.75" customHeight="1" s="101">
      <c r="A189" s="100" t="n"/>
      <c r="C189" s="97" t="n"/>
      <c r="D189" s="98" t="n"/>
      <c r="E189" s="100" t="n"/>
    </row>
    <row r="190" ht="15.75" customHeight="1" s="101">
      <c r="A190" s="100" t="n"/>
      <c r="C190" s="97" t="n"/>
      <c r="D190" s="98" t="n"/>
      <c r="E190" s="100" t="n"/>
    </row>
    <row r="191" ht="15.75" customHeight="1" s="101">
      <c r="A191" s="100" t="n"/>
      <c r="C191" s="97" t="n"/>
      <c r="D191" s="98" t="n"/>
      <c r="E191" s="100" t="n"/>
    </row>
    <row r="192" ht="15.75" customHeight="1" s="101">
      <c r="A192" s="100" t="n"/>
      <c r="C192" s="97" t="n"/>
      <c r="D192" s="98" t="n"/>
      <c r="E192" s="100" t="n"/>
    </row>
    <row r="193" ht="15.75" customHeight="1" s="101">
      <c r="A193" s="100" t="n"/>
      <c r="C193" s="97" t="n"/>
      <c r="D193" s="98" t="n"/>
      <c r="E193" s="100" t="n"/>
    </row>
    <row r="194" ht="15.75" customHeight="1" s="101">
      <c r="A194" s="100" t="n"/>
      <c r="C194" s="97" t="n"/>
      <c r="D194" s="98" t="n"/>
      <c r="E194" s="100" t="n"/>
    </row>
    <row r="195" ht="15.75" customHeight="1" s="101">
      <c r="A195" s="100" t="n"/>
      <c r="C195" s="97" t="n"/>
      <c r="D195" s="98" t="n"/>
      <c r="E195" s="100" t="n"/>
    </row>
    <row r="196" ht="15.75" customHeight="1" s="101">
      <c r="A196" s="100" t="n"/>
      <c r="C196" s="97" t="n"/>
      <c r="D196" s="98" t="n"/>
      <c r="E196" s="100" t="n"/>
    </row>
    <row r="197" ht="15.75" customHeight="1" s="101">
      <c r="A197" s="100" t="n"/>
      <c r="C197" s="97" t="n"/>
      <c r="D197" s="98" t="n"/>
      <c r="E197" s="100" t="n"/>
    </row>
    <row r="198" ht="15.75" customHeight="1" s="101">
      <c r="A198" s="100" t="n"/>
      <c r="C198" s="97" t="n"/>
      <c r="D198" s="98" t="n"/>
      <c r="E198" s="100" t="n"/>
    </row>
    <row r="199" ht="15.75" customHeight="1" s="101">
      <c r="A199" s="100" t="n"/>
      <c r="C199" s="97" t="n"/>
      <c r="D199" s="98" t="n"/>
      <c r="E199" s="100" t="n"/>
    </row>
    <row r="200" ht="15.75" customHeight="1" s="101">
      <c r="A200" s="100" t="n"/>
      <c r="C200" s="97" t="n"/>
      <c r="D200" s="98" t="n"/>
      <c r="E200" s="100" t="n"/>
    </row>
    <row r="201" ht="15.75" customHeight="1" s="101">
      <c r="A201" s="100" t="n"/>
      <c r="E201" s="100" t="n"/>
    </row>
    <row r="202" ht="15.75" customHeight="1" s="101">
      <c r="A202" s="100" t="n"/>
      <c r="E202" s="100" t="n"/>
    </row>
    <row r="203" ht="15.75" customHeight="1" s="101">
      <c r="A203" s="100" t="n"/>
      <c r="E203" s="100" t="n"/>
    </row>
    <row r="204" ht="15.75" customHeight="1" s="101">
      <c r="A204" s="100" t="n"/>
      <c r="E204" s="100" t="n"/>
    </row>
    <row r="205" ht="15.75" customHeight="1" s="101">
      <c r="A205" s="100" t="n"/>
      <c r="E205" s="100" t="n"/>
    </row>
    <row r="206" ht="15.75" customHeight="1" s="101">
      <c r="A206" s="100" t="n"/>
      <c r="E206" s="100" t="n"/>
    </row>
    <row r="207" ht="15.75" customHeight="1" s="101">
      <c r="A207" s="100" t="n"/>
      <c r="E207" s="100" t="n"/>
    </row>
    <row r="208" ht="15.75" customHeight="1" s="101">
      <c r="A208" s="100" t="n"/>
      <c r="E208" s="100" t="n"/>
    </row>
    <row r="209" ht="15.75" customHeight="1" s="101">
      <c r="A209" s="100" t="n"/>
      <c r="E209" s="100" t="n"/>
    </row>
    <row r="210" ht="15.75" customHeight="1" s="101">
      <c r="A210" s="100" t="n"/>
      <c r="E210" s="100" t="n"/>
    </row>
    <row r="211" ht="15.75" customHeight="1" s="101">
      <c r="A211" s="100" t="n"/>
      <c r="E211" s="100" t="n"/>
    </row>
    <row r="212" ht="15.75" customHeight="1" s="101">
      <c r="A212" s="100" t="n"/>
      <c r="E212" s="100" t="n"/>
    </row>
    <row r="213" ht="15.75" customHeight="1" s="101">
      <c r="A213" s="100" t="n"/>
      <c r="E213" s="100" t="n"/>
    </row>
    <row r="214" ht="15.75" customHeight="1" s="101">
      <c r="A214" s="100" t="n"/>
      <c r="E214" s="100" t="n"/>
    </row>
    <row r="215" ht="15.75" customHeight="1" s="101">
      <c r="A215" s="100" t="n"/>
      <c r="E215" s="100" t="n"/>
    </row>
    <row r="216" ht="15.75" customHeight="1" s="101">
      <c r="A216" s="100" t="n"/>
      <c r="E216" s="100" t="n"/>
    </row>
    <row r="217" ht="15.75" customHeight="1" s="101">
      <c r="A217" s="100" t="n"/>
      <c r="E217" s="100" t="n"/>
    </row>
    <row r="218" ht="15.75" customHeight="1" s="101">
      <c r="A218" s="100" t="n"/>
      <c r="E218" s="100" t="n"/>
    </row>
    <row r="219" ht="15.75" customHeight="1" s="101">
      <c r="A219" s="100" t="n"/>
      <c r="E219" s="100" t="n"/>
    </row>
    <row r="220" ht="15.75" customHeight="1" s="101">
      <c r="A220" s="100" t="n"/>
      <c r="E220" s="100" t="n"/>
    </row>
    <row r="221" ht="15.75" customHeight="1" s="101">
      <c r="A221" s="100" t="n"/>
      <c r="E221" s="100" t="n"/>
    </row>
    <row r="222" ht="15.75" customHeight="1" s="101">
      <c r="A222" s="100" t="n"/>
      <c r="E222" s="100" t="n"/>
    </row>
    <row r="223" ht="15.75" customHeight="1" s="101">
      <c r="A223" s="100" t="n"/>
      <c r="E223" s="100" t="n"/>
    </row>
    <row r="224" ht="15.75" customHeight="1" s="101">
      <c r="A224" s="100" t="n"/>
      <c r="E224" s="100" t="n"/>
    </row>
    <row r="225" ht="15.75" customHeight="1" s="101">
      <c r="A225" s="100" t="n"/>
      <c r="E225" s="100" t="n"/>
    </row>
    <row r="226" ht="15.75" customHeight="1" s="101">
      <c r="A226" s="100" t="n"/>
      <c r="E226" s="100" t="n"/>
    </row>
    <row r="227" ht="15.75" customHeight="1" s="101">
      <c r="A227" s="100" t="n"/>
      <c r="E227" s="100" t="n"/>
    </row>
    <row r="228" ht="15.75" customHeight="1" s="101">
      <c r="A228" s="100" t="n"/>
      <c r="E228" s="100" t="n"/>
    </row>
    <row r="229" ht="15.75" customHeight="1" s="101">
      <c r="A229" s="100" t="n"/>
      <c r="E229" s="100" t="n"/>
    </row>
    <row r="230" ht="15.75" customHeight="1" s="101">
      <c r="A230" s="100" t="n"/>
      <c r="E230" s="100" t="n"/>
    </row>
    <row r="231" ht="15.75" customHeight="1" s="101">
      <c r="A231" s="100" t="n"/>
      <c r="E231" s="100" t="n"/>
    </row>
    <row r="232" ht="15.75" customHeight="1" s="101">
      <c r="A232" s="100" t="n"/>
      <c r="E232" s="100" t="n"/>
    </row>
    <row r="233" ht="15.75" customHeight="1" s="101">
      <c r="A233" s="100" t="n"/>
      <c r="E233" s="100" t="n"/>
    </row>
    <row r="234" ht="15.75" customHeight="1" s="101">
      <c r="A234" s="100" t="n"/>
      <c r="E234" s="100" t="n"/>
    </row>
    <row r="235" ht="15.75" customHeight="1" s="101">
      <c r="A235" s="100" t="n"/>
      <c r="E235" s="100" t="n"/>
    </row>
    <row r="236" ht="15.75" customHeight="1" s="101">
      <c r="A236" s="100" t="n"/>
      <c r="E236" s="100" t="n"/>
    </row>
    <row r="237" ht="15.75" customHeight="1" s="101">
      <c r="A237" s="100" t="n"/>
      <c r="E237" s="100" t="n"/>
    </row>
    <row r="238" ht="15.75" customHeight="1" s="101">
      <c r="A238" s="100" t="n"/>
      <c r="E238" s="100" t="n"/>
    </row>
    <row r="239" ht="15.75" customHeight="1" s="101">
      <c r="A239" s="100" t="n"/>
      <c r="E239" s="100" t="n"/>
    </row>
    <row r="240" ht="15.75" customHeight="1" s="101">
      <c r="A240" s="100" t="n"/>
      <c r="E240" s="100" t="n"/>
    </row>
    <row r="241" ht="15.75" customHeight="1" s="101">
      <c r="A241" s="100" t="n"/>
      <c r="E241" s="100" t="n"/>
    </row>
    <row r="242" ht="15.75" customHeight="1" s="101">
      <c r="A242" s="100" t="n"/>
      <c r="E242" s="100" t="n"/>
    </row>
    <row r="243" ht="15.75" customHeight="1" s="101">
      <c r="A243" s="100" t="n"/>
      <c r="E243" s="100" t="n"/>
    </row>
    <row r="244" ht="15.75" customHeight="1" s="101">
      <c r="A244" s="100" t="n"/>
      <c r="E244" s="100" t="n"/>
    </row>
    <row r="245" ht="15.75" customHeight="1" s="101">
      <c r="A245" s="100" t="n"/>
      <c r="E245" s="100" t="n"/>
    </row>
    <row r="246" ht="15.75" customHeight="1" s="101">
      <c r="A246" s="100" t="n"/>
      <c r="E246" s="100" t="n"/>
    </row>
    <row r="247" ht="15.75" customHeight="1" s="101">
      <c r="A247" s="100" t="n"/>
      <c r="E247" s="100" t="n"/>
    </row>
    <row r="248" ht="15.75" customHeight="1" s="101">
      <c r="A248" s="100" t="n"/>
      <c r="E248" s="100" t="n"/>
    </row>
    <row r="249" ht="15.75" customHeight="1" s="101">
      <c r="A249" s="100" t="n"/>
      <c r="E249" s="100" t="n"/>
    </row>
    <row r="250" ht="15.75" customHeight="1" s="101">
      <c r="A250" s="100" t="n"/>
      <c r="E250" s="100" t="n"/>
    </row>
    <row r="251" ht="15.75" customHeight="1" s="101">
      <c r="A251" s="100" t="n"/>
      <c r="E251" s="100" t="n"/>
    </row>
    <row r="252" ht="15.75" customHeight="1" s="101">
      <c r="A252" s="100" t="n"/>
      <c r="E252" s="100" t="n"/>
    </row>
    <row r="253" ht="15.75" customHeight="1" s="101">
      <c r="A253" s="100" t="n"/>
      <c r="E253" s="100" t="n"/>
    </row>
    <row r="254" ht="15.75" customHeight="1" s="101">
      <c r="A254" s="100" t="n"/>
      <c r="E254" s="100" t="n"/>
    </row>
    <row r="255" ht="15.75" customHeight="1" s="101">
      <c r="A255" s="100" t="n"/>
      <c r="E255" s="100" t="n"/>
    </row>
    <row r="256" ht="15.75" customHeight="1" s="101">
      <c r="A256" s="100" t="n"/>
      <c r="E256" s="100" t="n"/>
    </row>
    <row r="257" ht="15.75" customHeight="1" s="101">
      <c r="A257" s="100" t="n"/>
      <c r="E257" s="100" t="n"/>
    </row>
    <row r="258" ht="15.75" customHeight="1" s="101">
      <c r="A258" s="100" t="n"/>
      <c r="E258" s="100" t="n"/>
    </row>
    <row r="259" ht="15.75" customHeight="1" s="101">
      <c r="A259" s="100" t="n"/>
      <c r="E259" s="100" t="n"/>
    </row>
    <row r="260" ht="15.75" customHeight="1" s="101">
      <c r="A260" s="100" t="n"/>
      <c r="E260" s="100" t="n"/>
    </row>
    <row r="261" ht="15.75" customHeight="1" s="101">
      <c r="A261" s="100" t="n"/>
      <c r="E261" s="100" t="n"/>
    </row>
    <row r="262" ht="15.75" customHeight="1" s="101">
      <c r="A262" s="100" t="n"/>
      <c r="E262" s="100" t="n"/>
    </row>
    <row r="263" ht="15.75" customHeight="1" s="101">
      <c r="A263" s="100" t="n"/>
      <c r="E263" s="100" t="n"/>
    </row>
    <row r="264" ht="15.75" customHeight="1" s="101">
      <c r="A264" s="100" t="n"/>
      <c r="E264" s="100" t="n"/>
    </row>
    <row r="265" ht="15.75" customHeight="1" s="101">
      <c r="A265" s="100" t="n"/>
      <c r="E265" s="100" t="n"/>
    </row>
    <row r="266" ht="15.75" customHeight="1" s="101">
      <c r="A266" s="100" t="n"/>
      <c r="E266" s="100" t="n"/>
    </row>
    <row r="267" ht="15.75" customHeight="1" s="101">
      <c r="A267" s="100" t="n"/>
      <c r="E267" s="100" t="n"/>
    </row>
    <row r="268" ht="15.75" customHeight="1" s="101">
      <c r="A268" s="100" t="n"/>
      <c r="E268" s="100" t="n"/>
    </row>
    <row r="269" ht="15.75" customHeight="1" s="101">
      <c r="A269" s="100" t="n"/>
      <c r="E269" s="100" t="n"/>
    </row>
    <row r="270" ht="15.75" customHeight="1" s="101">
      <c r="A270" s="100" t="n"/>
      <c r="E270" s="100" t="n"/>
    </row>
    <row r="271" ht="15.75" customHeight="1" s="101">
      <c r="A271" s="100" t="n"/>
      <c r="E271" s="100" t="n"/>
    </row>
    <row r="272" ht="15.75" customHeight="1" s="101">
      <c r="A272" s="100" t="n"/>
      <c r="E272" s="100" t="n"/>
    </row>
    <row r="273" ht="15.75" customHeight="1" s="101">
      <c r="A273" s="100" t="n"/>
      <c r="E273" s="100" t="n"/>
    </row>
    <row r="274" ht="15.75" customHeight="1" s="101">
      <c r="A274" s="100" t="n"/>
      <c r="E274" s="100" t="n"/>
    </row>
    <row r="275" ht="15.75" customHeight="1" s="101">
      <c r="A275" s="100" t="n"/>
      <c r="E275" s="100" t="n"/>
    </row>
    <row r="276" ht="15.75" customHeight="1" s="101">
      <c r="A276" s="100" t="n"/>
      <c r="E276" s="100" t="n"/>
    </row>
    <row r="277" ht="15.75" customHeight="1" s="101">
      <c r="A277" s="100" t="n"/>
      <c r="E277" s="100" t="n"/>
    </row>
    <row r="278" ht="15.75" customHeight="1" s="101">
      <c r="A278" s="100" t="n"/>
      <c r="E278" s="100" t="n"/>
    </row>
    <row r="279" ht="15.75" customHeight="1" s="101">
      <c r="A279" s="100" t="n"/>
      <c r="E279" s="100" t="n"/>
    </row>
    <row r="280" ht="15.75" customHeight="1" s="101">
      <c r="A280" s="100" t="n"/>
      <c r="E280" s="100" t="n"/>
    </row>
    <row r="281" ht="15.75" customHeight="1" s="101">
      <c r="A281" s="100" t="n"/>
      <c r="E281" s="100" t="n"/>
    </row>
    <row r="282" ht="15.75" customHeight="1" s="101">
      <c r="A282" s="100" t="n"/>
      <c r="E282" s="100" t="n"/>
    </row>
    <row r="283" ht="15.75" customHeight="1" s="101">
      <c r="A283" s="100" t="n"/>
      <c r="E283" s="100" t="n"/>
    </row>
    <row r="284" ht="15.75" customHeight="1" s="101">
      <c r="A284" s="100" t="n"/>
      <c r="E284" s="100" t="n"/>
    </row>
    <row r="285" ht="15.75" customHeight="1" s="101">
      <c r="A285" s="100" t="n"/>
      <c r="E285" s="100" t="n"/>
    </row>
    <row r="286" ht="15.75" customHeight="1" s="101">
      <c r="A286" s="100" t="n"/>
      <c r="E286" s="100" t="n"/>
    </row>
    <row r="287" ht="15.75" customHeight="1" s="101">
      <c r="A287" s="100" t="n"/>
      <c r="E287" s="100" t="n"/>
    </row>
    <row r="288" ht="15.75" customHeight="1" s="101">
      <c r="A288" s="100" t="n"/>
      <c r="E288" s="100" t="n"/>
    </row>
    <row r="289" ht="15.75" customHeight="1" s="101">
      <c r="A289" s="100" t="n"/>
      <c r="E289" s="100" t="n"/>
    </row>
    <row r="290" ht="15.75" customHeight="1" s="101">
      <c r="A290" s="100" t="n"/>
      <c r="E290" s="100" t="n"/>
    </row>
    <row r="291" ht="15.75" customHeight="1" s="101">
      <c r="A291" s="100" t="n"/>
      <c r="E291" s="100" t="n"/>
    </row>
    <row r="292" ht="15.75" customHeight="1" s="101">
      <c r="A292" s="100" t="n"/>
      <c r="E292" s="100" t="n"/>
    </row>
    <row r="293" ht="15.75" customHeight="1" s="101">
      <c r="A293" s="100" t="n"/>
      <c r="E293" s="100" t="n"/>
    </row>
    <row r="294" ht="15.75" customHeight="1" s="101">
      <c r="A294" s="100" t="n"/>
      <c r="E294" s="100" t="n"/>
    </row>
    <row r="295" ht="15.75" customHeight="1" s="101">
      <c r="A295" s="100" t="n"/>
      <c r="E295" s="100" t="n"/>
    </row>
    <row r="296" ht="15.75" customHeight="1" s="101">
      <c r="A296" s="100" t="n"/>
      <c r="E296" s="100" t="n"/>
    </row>
    <row r="297" ht="15.75" customHeight="1" s="101">
      <c r="A297" s="100" t="n"/>
      <c r="E297" s="100" t="n"/>
    </row>
    <row r="298" ht="15.75" customHeight="1" s="101">
      <c r="A298" s="100" t="n"/>
      <c r="E298" s="100" t="n"/>
    </row>
    <row r="299" ht="15.75" customHeight="1" s="101">
      <c r="A299" s="100" t="n"/>
      <c r="E299" s="100" t="n"/>
    </row>
    <row r="300" ht="15.75" customHeight="1" s="101">
      <c r="A300" s="100" t="n"/>
      <c r="E300" s="100" t="n"/>
    </row>
    <row r="301" ht="15.75" customHeight="1" s="101">
      <c r="A301" s="100" t="n"/>
      <c r="E301" s="100" t="n"/>
    </row>
    <row r="302" ht="15.75" customHeight="1" s="101">
      <c r="A302" s="100" t="n"/>
      <c r="E302" s="100" t="n"/>
    </row>
    <row r="303" ht="15.75" customHeight="1" s="101">
      <c r="A303" s="100" t="n"/>
      <c r="E303" s="100" t="n"/>
    </row>
    <row r="304" ht="15.75" customHeight="1" s="101">
      <c r="A304" s="100" t="n"/>
      <c r="E304" s="100" t="n"/>
    </row>
    <row r="305" ht="15.75" customHeight="1" s="101">
      <c r="A305" s="100" t="n"/>
      <c r="E305" s="100" t="n"/>
    </row>
    <row r="306" ht="15.75" customHeight="1" s="101">
      <c r="A306" s="100" t="n"/>
      <c r="E306" s="100" t="n"/>
    </row>
    <row r="307" ht="15.75" customHeight="1" s="101">
      <c r="A307" s="100" t="n"/>
      <c r="E307" s="100" t="n"/>
    </row>
    <row r="308" ht="15.75" customHeight="1" s="101">
      <c r="A308" s="100" t="n"/>
      <c r="E308" s="100" t="n"/>
    </row>
    <row r="309" ht="15.75" customHeight="1" s="101">
      <c r="A309" s="100" t="n"/>
      <c r="E309" s="100" t="n"/>
    </row>
    <row r="310" ht="15.75" customHeight="1" s="101">
      <c r="A310" s="100" t="n"/>
      <c r="E310" s="100" t="n"/>
    </row>
    <row r="311" ht="15.75" customHeight="1" s="101">
      <c r="A311" s="100" t="n"/>
      <c r="E311" s="100" t="n"/>
    </row>
    <row r="312" ht="15.75" customHeight="1" s="101">
      <c r="A312" s="100" t="n"/>
      <c r="E312" s="100" t="n"/>
    </row>
    <row r="313" ht="15.75" customHeight="1" s="101">
      <c r="A313" s="100" t="n"/>
      <c r="E313" s="100" t="n"/>
    </row>
    <row r="314" ht="15.75" customHeight="1" s="101">
      <c r="A314" s="100" t="n"/>
      <c r="E314" s="100" t="n"/>
    </row>
    <row r="315" ht="15.75" customHeight="1" s="101">
      <c r="A315" s="100" t="n"/>
      <c r="E315" s="100" t="n"/>
    </row>
    <row r="316" ht="15.75" customHeight="1" s="101">
      <c r="A316" s="100" t="n"/>
      <c r="E316" s="100" t="n"/>
    </row>
    <row r="317" ht="15.75" customHeight="1" s="101">
      <c r="A317" s="100" t="n"/>
      <c r="E317" s="100" t="n"/>
    </row>
    <row r="318" ht="15.75" customHeight="1" s="101">
      <c r="A318" s="100" t="n"/>
      <c r="E318" s="100" t="n"/>
    </row>
    <row r="319" ht="15.75" customHeight="1" s="101">
      <c r="A319" s="100" t="n"/>
      <c r="E319" s="100" t="n"/>
    </row>
    <row r="320" ht="15.75" customHeight="1" s="101">
      <c r="A320" s="100" t="n"/>
      <c r="E320" s="100" t="n"/>
    </row>
    <row r="321" ht="15.75" customHeight="1" s="101">
      <c r="A321" s="100" t="n"/>
      <c r="E321" s="100" t="n"/>
    </row>
    <row r="322" ht="15.75" customHeight="1" s="101">
      <c r="A322" s="100" t="n"/>
      <c r="E322" s="100" t="n"/>
    </row>
    <row r="323" ht="15.75" customHeight="1" s="101">
      <c r="A323" s="100" t="n"/>
      <c r="E323" s="100" t="n"/>
    </row>
    <row r="324" ht="15.75" customHeight="1" s="101">
      <c r="A324" s="100" t="n"/>
      <c r="E324" s="100" t="n"/>
    </row>
    <row r="325" ht="15.75" customHeight="1" s="101">
      <c r="A325" s="100" t="n"/>
      <c r="E325" s="100" t="n"/>
    </row>
    <row r="326" ht="15.75" customHeight="1" s="101">
      <c r="A326" s="100" t="n"/>
      <c r="E326" s="100" t="n"/>
    </row>
    <row r="327" ht="15.75" customHeight="1" s="101">
      <c r="A327" s="100" t="n"/>
      <c r="E327" s="100" t="n"/>
    </row>
    <row r="328" ht="15.75" customHeight="1" s="101">
      <c r="A328" s="100" t="n"/>
      <c r="E328" s="100" t="n"/>
    </row>
    <row r="329" ht="15.75" customHeight="1" s="101">
      <c r="A329" s="100" t="n"/>
      <c r="E329" s="100" t="n"/>
    </row>
    <row r="330" ht="15.75" customHeight="1" s="101">
      <c r="A330" s="100" t="n"/>
      <c r="E330" s="100" t="n"/>
    </row>
    <row r="331" ht="15.75" customHeight="1" s="101">
      <c r="A331" s="100" t="n"/>
      <c r="E331" s="100" t="n"/>
    </row>
    <row r="332" ht="15.75" customHeight="1" s="101">
      <c r="A332" s="100" t="n"/>
      <c r="E332" s="100" t="n"/>
    </row>
    <row r="333" ht="15.75" customHeight="1" s="101">
      <c r="A333" s="100" t="n"/>
      <c r="E333" s="100" t="n"/>
    </row>
    <row r="334" ht="15.75" customHeight="1" s="101">
      <c r="A334" s="100" t="n"/>
      <c r="E334" s="100" t="n"/>
    </row>
    <row r="335" ht="15.75" customHeight="1" s="101">
      <c r="A335" s="100" t="n"/>
      <c r="E335" s="100" t="n"/>
    </row>
    <row r="336" ht="15.75" customHeight="1" s="101">
      <c r="A336" s="100" t="n"/>
      <c r="E336" s="100" t="n"/>
    </row>
    <row r="337" ht="15.75" customHeight="1" s="101">
      <c r="A337" s="100" t="n"/>
      <c r="E337" s="100" t="n"/>
    </row>
    <row r="338" ht="15.75" customHeight="1" s="101">
      <c r="A338" s="100" t="n"/>
      <c r="E338" s="100" t="n"/>
    </row>
    <row r="339" ht="15.75" customHeight="1" s="101">
      <c r="A339" s="100" t="n"/>
      <c r="E339" s="100" t="n"/>
    </row>
    <row r="340" ht="15.75" customHeight="1" s="101">
      <c r="A340" s="100" t="n"/>
      <c r="E340" s="100" t="n"/>
    </row>
    <row r="341" ht="15.75" customHeight="1" s="101">
      <c r="A341" s="100" t="n"/>
      <c r="E341" s="100" t="n"/>
    </row>
    <row r="342" ht="15.75" customHeight="1" s="101">
      <c r="A342" s="100" t="n"/>
      <c r="E342" s="100" t="n"/>
    </row>
    <row r="343" ht="15.75" customHeight="1" s="101">
      <c r="A343" s="100" t="n"/>
      <c r="E343" s="100" t="n"/>
    </row>
    <row r="344" ht="15.75" customHeight="1" s="101">
      <c r="A344" s="100" t="n"/>
      <c r="E344" s="100" t="n"/>
    </row>
    <row r="345" ht="15.75" customHeight="1" s="101">
      <c r="A345" s="100" t="n"/>
      <c r="E345" s="100" t="n"/>
    </row>
    <row r="346" ht="15.75" customHeight="1" s="101">
      <c r="A346" s="100" t="n"/>
      <c r="E346" s="100" t="n"/>
    </row>
    <row r="347" ht="15.75" customHeight="1" s="101">
      <c r="A347" s="100" t="n"/>
      <c r="E347" s="100" t="n"/>
    </row>
    <row r="348" ht="15.75" customHeight="1" s="101">
      <c r="A348" s="100" t="n"/>
      <c r="E348" s="100" t="n"/>
    </row>
    <row r="349" ht="15.75" customHeight="1" s="101">
      <c r="A349" s="100" t="n"/>
      <c r="E349" s="100" t="n"/>
    </row>
    <row r="350" ht="15.75" customHeight="1" s="101">
      <c r="A350" s="100" t="n"/>
      <c r="E350" s="100" t="n"/>
    </row>
    <row r="351" ht="15.75" customHeight="1" s="101">
      <c r="A351" s="100" t="n"/>
      <c r="E351" s="100" t="n"/>
    </row>
    <row r="352" ht="15.75" customHeight="1" s="101">
      <c r="A352" s="100" t="n"/>
      <c r="E352" s="100" t="n"/>
    </row>
    <row r="353" ht="15.75" customHeight="1" s="101">
      <c r="A353" s="100" t="n"/>
      <c r="E353" s="100" t="n"/>
    </row>
    <row r="354" ht="15.75" customHeight="1" s="101">
      <c r="A354" s="100" t="n"/>
      <c r="E354" s="100" t="n"/>
    </row>
    <row r="355" ht="15.75" customHeight="1" s="101">
      <c r="A355" s="100" t="n"/>
      <c r="E355" s="100" t="n"/>
    </row>
    <row r="356" ht="15.75" customHeight="1" s="101">
      <c r="A356" s="100" t="n"/>
      <c r="E356" s="100" t="n"/>
    </row>
    <row r="357" ht="15.75" customHeight="1" s="101">
      <c r="A357" s="100" t="n"/>
      <c r="E357" s="100" t="n"/>
    </row>
    <row r="358" ht="15.75" customHeight="1" s="101">
      <c r="A358" s="100" t="n"/>
      <c r="E358" s="100" t="n"/>
    </row>
    <row r="359" ht="15.75" customHeight="1" s="101">
      <c r="A359" s="100" t="n"/>
      <c r="E359" s="100" t="n"/>
    </row>
    <row r="360" ht="15.75" customHeight="1" s="101">
      <c r="A360" s="100" t="n"/>
      <c r="E360" s="100" t="n"/>
    </row>
    <row r="361" ht="15.75" customHeight="1" s="101">
      <c r="A361" s="100" t="n"/>
      <c r="E361" s="100" t="n"/>
    </row>
    <row r="362" ht="15.75" customHeight="1" s="101">
      <c r="A362" s="100" t="n"/>
      <c r="E362" s="100" t="n"/>
    </row>
    <row r="363" ht="15.75" customHeight="1" s="101">
      <c r="A363" s="100" t="n"/>
      <c r="E363" s="100" t="n"/>
    </row>
    <row r="364" ht="15.75" customHeight="1" s="101">
      <c r="A364" s="100" t="n"/>
      <c r="E364" s="100" t="n"/>
    </row>
    <row r="365" ht="15.75" customHeight="1" s="101">
      <c r="A365" s="100" t="n"/>
      <c r="E365" s="100" t="n"/>
    </row>
    <row r="366" ht="15.75" customHeight="1" s="101">
      <c r="A366" s="100" t="n"/>
      <c r="E366" s="100" t="n"/>
    </row>
    <row r="367" ht="15.75" customHeight="1" s="101">
      <c r="A367" s="100" t="n"/>
      <c r="E367" s="100" t="n"/>
    </row>
    <row r="368" ht="15.75" customHeight="1" s="101">
      <c r="A368" s="100" t="n"/>
      <c r="E368" s="100" t="n"/>
    </row>
    <row r="369" ht="15.75" customHeight="1" s="101">
      <c r="A369" s="100" t="n"/>
      <c r="E369" s="100" t="n"/>
    </row>
    <row r="370" ht="15.75" customHeight="1" s="101">
      <c r="A370" s="100" t="n"/>
      <c r="E370" s="100" t="n"/>
    </row>
    <row r="371" ht="15.75" customHeight="1" s="101">
      <c r="A371" s="100" t="n"/>
      <c r="E371" s="100" t="n"/>
    </row>
    <row r="372" ht="15.75" customHeight="1" s="101">
      <c r="A372" s="100" t="n"/>
      <c r="E372" s="100" t="n"/>
    </row>
    <row r="373" ht="15.75" customHeight="1" s="101">
      <c r="A373" s="100" t="n"/>
      <c r="E373" s="100" t="n"/>
    </row>
    <row r="374" ht="15.75" customHeight="1" s="101">
      <c r="A374" s="100" t="n"/>
      <c r="E374" s="100" t="n"/>
    </row>
    <row r="375" ht="15.75" customHeight="1" s="101">
      <c r="A375" s="100" t="n"/>
      <c r="E375" s="100" t="n"/>
    </row>
    <row r="376" ht="15.75" customHeight="1" s="101">
      <c r="A376" s="100" t="n"/>
      <c r="E376" s="100" t="n"/>
    </row>
    <row r="377" ht="15.75" customHeight="1" s="101">
      <c r="A377" s="100" t="n"/>
      <c r="E377" s="100" t="n"/>
    </row>
    <row r="378" ht="15.75" customHeight="1" s="101">
      <c r="A378" s="100" t="n"/>
      <c r="E378" s="100" t="n"/>
    </row>
    <row r="379" ht="15.75" customHeight="1" s="101">
      <c r="A379" s="100" t="n"/>
      <c r="E379" s="100" t="n"/>
    </row>
    <row r="380" ht="15.75" customHeight="1" s="101">
      <c r="A380" s="100" t="n"/>
      <c r="E380" s="100" t="n"/>
    </row>
    <row r="381" ht="15.75" customHeight="1" s="101">
      <c r="A381" s="100" t="n"/>
      <c r="E381" s="100" t="n"/>
    </row>
    <row r="382" ht="15.75" customHeight="1" s="101">
      <c r="A382" s="100" t="n"/>
      <c r="E382" s="100" t="n"/>
    </row>
    <row r="383" ht="15.75" customHeight="1" s="101">
      <c r="A383" s="100" t="n"/>
      <c r="E383" s="100" t="n"/>
    </row>
    <row r="384" ht="15.75" customHeight="1" s="101">
      <c r="A384" s="100" t="n"/>
      <c r="E384" s="100" t="n"/>
    </row>
    <row r="385" ht="15.75" customHeight="1" s="101">
      <c r="A385" s="100" t="n"/>
      <c r="E385" s="100" t="n"/>
    </row>
    <row r="386" ht="15.75" customHeight="1" s="101">
      <c r="A386" s="100" t="n"/>
      <c r="E386" s="100" t="n"/>
    </row>
    <row r="387" ht="15.75" customHeight="1" s="101">
      <c r="A387" s="100" t="n"/>
      <c r="E387" s="100" t="n"/>
    </row>
    <row r="388" ht="15.75" customHeight="1" s="101">
      <c r="A388" s="100" t="n"/>
      <c r="E388" s="100" t="n"/>
    </row>
    <row r="389" ht="15.75" customHeight="1" s="101">
      <c r="A389" s="100" t="n"/>
      <c r="E389" s="100" t="n"/>
    </row>
    <row r="390" ht="15.75" customHeight="1" s="101">
      <c r="A390" s="100" t="n"/>
      <c r="E390" s="100" t="n"/>
    </row>
    <row r="391" ht="15.75" customHeight="1" s="101">
      <c r="A391" s="100" t="n"/>
      <c r="E391" s="100" t="n"/>
    </row>
    <row r="392" ht="15.75" customHeight="1" s="101">
      <c r="A392" s="100" t="n"/>
      <c r="E392" s="100" t="n"/>
    </row>
    <row r="393" ht="15.75" customHeight="1" s="101">
      <c r="A393" s="100" t="n"/>
      <c r="E393" s="100" t="n"/>
    </row>
    <row r="394" ht="15.75" customHeight="1" s="101">
      <c r="A394" s="100" t="n"/>
      <c r="E394" s="100" t="n"/>
    </row>
    <row r="395" ht="15.75" customHeight="1" s="101">
      <c r="A395" s="100" t="n"/>
      <c r="E395" s="100" t="n"/>
    </row>
    <row r="396" ht="15.75" customHeight="1" s="101">
      <c r="A396" s="100" t="n"/>
      <c r="E396" s="100" t="n"/>
    </row>
    <row r="397" ht="15.75" customHeight="1" s="101">
      <c r="A397" s="100" t="n"/>
      <c r="E397" s="100" t="n"/>
    </row>
    <row r="398" ht="15.75" customHeight="1" s="101">
      <c r="A398" s="100" t="n"/>
      <c r="E398" s="100" t="n"/>
    </row>
    <row r="399" ht="15.75" customHeight="1" s="101">
      <c r="A399" s="100" t="n"/>
      <c r="E399" s="100" t="n"/>
    </row>
    <row r="400" ht="15.75" customHeight="1" s="101">
      <c r="A400" s="100" t="n"/>
      <c r="E400" s="100" t="n"/>
    </row>
    <row r="401" ht="15.75" customHeight="1" s="101">
      <c r="A401" s="100" t="n"/>
      <c r="E401" s="100" t="n"/>
    </row>
    <row r="402" ht="15.75" customHeight="1" s="101">
      <c r="A402" s="100" t="n"/>
      <c r="E402" s="100" t="n"/>
    </row>
    <row r="403" ht="15.75" customHeight="1" s="101">
      <c r="A403" s="100" t="n"/>
      <c r="E403" s="100" t="n"/>
    </row>
    <row r="404" ht="15.75" customHeight="1" s="101">
      <c r="A404" s="100" t="n"/>
      <c r="E404" s="100" t="n"/>
    </row>
    <row r="405" ht="15.75" customHeight="1" s="101">
      <c r="A405" s="100" t="n"/>
      <c r="E405" s="100" t="n"/>
    </row>
    <row r="406" ht="15.75" customHeight="1" s="101">
      <c r="A406" s="100" t="n"/>
      <c r="E406" s="100" t="n"/>
    </row>
    <row r="407" ht="15.75" customHeight="1" s="101">
      <c r="A407" s="100" t="n"/>
      <c r="E407" s="100" t="n"/>
    </row>
    <row r="408" ht="15.75" customHeight="1" s="101">
      <c r="A408" s="100" t="n"/>
      <c r="E408" s="100" t="n"/>
    </row>
    <row r="409" ht="15.75" customHeight="1" s="101">
      <c r="A409" s="100" t="n"/>
      <c r="E409" s="100" t="n"/>
    </row>
    <row r="410" ht="15.75" customHeight="1" s="101">
      <c r="A410" s="100" t="n"/>
      <c r="E410" s="100" t="n"/>
    </row>
    <row r="411" ht="15.75" customHeight="1" s="101">
      <c r="A411" s="100" t="n"/>
      <c r="E411" s="100" t="n"/>
    </row>
    <row r="412" ht="15.75" customHeight="1" s="101">
      <c r="A412" s="100" t="n"/>
      <c r="E412" s="100" t="n"/>
    </row>
    <row r="413" ht="15.75" customHeight="1" s="101">
      <c r="A413" s="100" t="n"/>
      <c r="E413" s="100" t="n"/>
    </row>
    <row r="414" ht="15.75" customHeight="1" s="101">
      <c r="A414" s="100" t="n"/>
      <c r="E414" s="100" t="n"/>
    </row>
    <row r="415" ht="15.75" customHeight="1" s="101">
      <c r="A415" s="100" t="n"/>
      <c r="E415" s="100" t="n"/>
    </row>
    <row r="416" ht="15.75" customHeight="1" s="101">
      <c r="A416" s="100" t="n"/>
      <c r="E416" s="100" t="n"/>
    </row>
    <row r="417" ht="15.75" customHeight="1" s="101">
      <c r="A417" s="100" t="n"/>
      <c r="E417" s="100" t="n"/>
    </row>
    <row r="418" ht="15.75" customHeight="1" s="101">
      <c r="A418" s="100" t="n"/>
      <c r="E418" s="100" t="n"/>
    </row>
    <row r="419" ht="15.75" customHeight="1" s="101">
      <c r="A419" s="100" t="n"/>
      <c r="E419" s="100" t="n"/>
    </row>
    <row r="420" ht="15.75" customHeight="1" s="101">
      <c r="A420" s="100" t="n"/>
      <c r="E420" s="100" t="n"/>
    </row>
    <row r="421" ht="15.75" customHeight="1" s="101">
      <c r="A421" s="100" t="n"/>
      <c r="E421" s="100" t="n"/>
    </row>
    <row r="422" ht="15.75" customHeight="1" s="101">
      <c r="A422" s="100" t="n"/>
      <c r="E422" s="100" t="n"/>
    </row>
    <row r="423" ht="15.75" customHeight="1" s="101">
      <c r="A423" s="100" t="n"/>
      <c r="E423" s="100" t="n"/>
    </row>
    <row r="424" ht="15.75" customHeight="1" s="101">
      <c r="A424" s="100" t="n"/>
      <c r="E424" s="100" t="n"/>
    </row>
    <row r="425" ht="15.75" customHeight="1" s="101">
      <c r="A425" s="100" t="n"/>
      <c r="E425" s="100" t="n"/>
    </row>
    <row r="426" ht="15.75" customHeight="1" s="101">
      <c r="A426" s="100" t="n"/>
      <c r="E426" s="100" t="n"/>
    </row>
    <row r="427" ht="15.75" customHeight="1" s="101">
      <c r="A427" s="100" t="n"/>
      <c r="E427" s="100" t="n"/>
    </row>
    <row r="428" ht="15.75" customHeight="1" s="101">
      <c r="A428" s="100" t="n"/>
      <c r="E428" s="100" t="n"/>
    </row>
    <row r="429" ht="15.75" customHeight="1" s="101">
      <c r="A429" s="100" t="n"/>
      <c r="E429" s="100" t="n"/>
    </row>
    <row r="430" ht="15.75" customHeight="1" s="101">
      <c r="A430" s="100" t="n"/>
      <c r="E430" s="100" t="n"/>
    </row>
    <row r="431" ht="15.75" customHeight="1" s="101">
      <c r="A431" s="100" t="n"/>
      <c r="E431" s="100" t="n"/>
    </row>
    <row r="432" ht="15.75" customHeight="1" s="101">
      <c r="A432" s="100" t="n"/>
      <c r="E432" s="100" t="n"/>
    </row>
    <row r="433" ht="15.75" customHeight="1" s="101">
      <c r="A433" s="100" t="n"/>
      <c r="E433" s="100" t="n"/>
    </row>
    <row r="434" ht="15.75" customHeight="1" s="101">
      <c r="A434" s="100" t="n"/>
      <c r="E434" s="100" t="n"/>
    </row>
    <row r="435" ht="15.75" customHeight="1" s="101">
      <c r="A435" s="100" t="n"/>
      <c r="E435" s="100" t="n"/>
    </row>
    <row r="436" ht="15.75" customHeight="1" s="101">
      <c r="A436" s="100" t="n"/>
      <c r="E436" s="100" t="n"/>
    </row>
    <row r="437" ht="15.75" customHeight="1" s="101">
      <c r="A437" s="100" t="n"/>
      <c r="E437" s="100" t="n"/>
    </row>
    <row r="438" ht="15.75" customHeight="1" s="101">
      <c r="A438" s="100" t="n"/>
      <c r="E438" s="100" t="n"/>
    </row>
    <row r="439" ht="15.75" customHeight="1" s="101">
      <c r="A439" s="100" t="n"/>
      <c r="E439" s="100" t="n"/>
    </row>
    <row r="440" ht="15.75" customHeight="1" s="101">
      <c r="A440" s="100" t="n"/>
      <c r="E440" s="100" t="n"/>
    </row>
    <row r="441" ht="15.75" customHeight="1" s="101">
      <c r="A441" s="100" t="n"/>
      <c r="E441" s="100" t="n"/>
    </row>
    <row r="442" ht="15.75" customHeight="1" s="101">
      <c r="A442" s="100" t="n"/>
      <c r="E442" s="100" t="n"/>
    </row>
    <row r="443" ht="15.75" customHeight="1" s="101">
      <c r="A443" s="100" t="n"/>
      <c r="E443" s="100" t="n"/>
    </row>
    <row r="444" ht="15.75" customHeight="1" s="101">
      <c r="A444" s="100" t="n"/>
      <c r="E444" s="100" t="n"/>
    </row>
    <row r="445" ht="15.75" customHeight="1" s="101">
      <c r="A445" s="100" t="n"/>
      <c r="E445" s="100" t="n"/>
    </row>
    <row r="446" ht="15.75" customHeight="1" s="101">
      <c r="A446" s="100" t="n"/>
      <c r="E446" s="100" t="n"/>
    </row>
    <row r="447" ht="15.75" customHeight="1" s="101">
      <c r="A447" s="100" t="n"/>
      <c r="E447" s="100" t="n"/>
    </row>
    <row r="448" ht="15.75" customHeight="1" s="101">
      <c r="A448" s="100" t="n"/>
      <c r="E448" s="100" t="n"/>
    </row>
    <row r="449" ht="15.75" customHeight="1" s="101">
      <c r="A449" s="100" t="n"/>
      <c r="E449" s="100" t="n"/>
    </row>
    <row r="450" ht="15.75" customHeight="1" s="101">
      <c r="A450" s="100" t="n"/>
      <c r="E450" s="100" t="n"/>
    </row>
    <row r="451" ht="15.75" customHeight="1" s="101">
      <c r="A451" s="100" t="n"/>
      <c r="E451" s="100" t="n"/>
    </row>
    <row r="452" ht="15.75" customHeight="1" s="101">
      <c r="A452" s="100" t="n"/>
      <c r="E452" s="100" t="n"/>
    </row>
    <row r="453" ht="15.75" customHeight="1" s="101">
      <c r="A453" s="100" t="n"/>
      <c r="E453" s="100" t="n"/>
    </row>
    <row r="454" ht="15.75" customHeight="1" s="101">
      <c r="A454" s="100" t="n"/>
      <c r="E454" s="100" t="n"/>
    </row>
    <row r="455" ht="15.75" customHeight="1" s="101">
      <c r="A455" s="100" t="n"/>
      <c r="E455" s="100" t="n"/>
    </row>
    <row r="456" ht="15.75" customHeight="1" s="101">
      <c r="A456" s="100" t="n"/>
      <c r="E456" s="100" t="n"/>
    </row>
    <row r="457" ht="15.75" customHeight="1" s="101">
      <c r="A457" s="100" t="n"/>
      <c r="E457" s="100" t="n"/>
    </row>
    <row r="458" ht="15.75" customHeight="1" s="101">
      <c r="A458" s="100" t="n"/>
      <c r="E458" s="100" t="n"/>
    </row>
    <row r="459" ht="15.75" customHeight="1" s="101">
      <c r="A459" s="100" t="n"/>
      <c r="E459" s="100" t="n"/>
    </row>
    <row r="460" ht="15.75" customHeight="1" s="101">
      <c r="A460" s="100" t="n"/>
      <c r="E460" s="100" t="n"/>
    </row>
    <row r="461" ht="15.75" customHeight="1" s="101">
      <c r="A461" s="100" t="n"/>
      <c r="E461" s="100" t="n"/>
    </row>
    <row r="462" ht="15.75" customHeight="1" s="101">
      <c r="A462" s="100" t="n"/>
      <c r="E462" s="100" t="n"/>
    </row>
    <row r="463" ht="15.75" customHeight="1" s="101">
      <c r="A463" s="100" t="n"/>
      <c r="E463" s="100" t="n"/>
    </row>
    <row r="464" ht="15.75" customHeight="1" s="101">
      <c r="A464" s="100" t="n"/>
      <c r="E464" s="100" t="n"/>
    </row>
    <row r="465" ht="15.75" customHeight="1" s="101">
      <c r="A465" s="100" t="n"/>
      <c r="E465" s="100" t="n"/>
    </row>
    <row r="466" ht="15.75" customHeight="1" s="101">
      <c r="A466" s="100" t="n"/>
      <c r="E466" s="100" t="n"/>
    </row>
    <row r="467" ht="15.75" customHeight="1" s="101">
      <c r="A467" s="100" t="n"/>
      <c r="E467" s="100" t="n"/>
    </row>
    <row r="468" ht="15.75" customHeight="1" s="101">
      <c r="A468" s="100" t="n"/>
      <c r="E468" s="100" t="n"/>
    </row>
    <row r="469" ht="15.75" customHeight="1" s="101">
      <c r="A469" s="100" t="n"/>
      <c r="E469" s="100" t="n"/>
    </row>
    <row r="470" ht="15.75" customHeight="1" s="101">
      <c r="A470" s="100" t="n"/>
      <c r="E470" s="100" t="n"/>
    </row>
    <row r="471" ht="15.75" customHeight="1" s="101">
      <c r="A471" s="100" t="n"/>
      <c r="E471" s="100" t="n"/>
    </row>
    <row r="472" ht="15.75" customHeight="1" s="101">
      <c r="A472" s="100" t="n"/>
      <c r="E472" s="100" t="n"/>
    </row>
    <row r="473" ht="15.75" customHeight="1" s="101">
      <c r="A473" s="100" t="n"/>
      <c r="E473" s="100" t="n"/>
    </row>
    <row r="474" ht="15.75" customHeight="1" s="101">
      <c r="A474" s="100" t="n"/>
      <c r="E474" s="100" t="n"/>
    </row>
    <row r="475" ht="15.75" customHeight="1" s="101">
      <c r="A475" s="100" t="n"/>
      <c r="E475" s="100" t="n"/>
    </row>
    <row r="476" ht="15.75" customHeight="1" s="101">
      <c r="A476" s="100" t="n"/>
      <c r="E476" s="100" t="n"/>
    </row>
    <row r="477" ht="15.75" customHeight="1" s="101">
      <c r="A477" s="100" t="n"/>
      <c r="E477" s="100" t="n"/>
    </row>
    <row r="478" ht="15.75" customHeight="1" s="101">
      <c r="A478" s="100" t="n"/>
      <c r="E478" s="100" t="n"/>
    </row>
    <row r="479" ht="15.75" customHeight="1" s="101">
      <c r="A479" s="100" t="n"/>
      <c r="E479" s="100" t="n"/>
    </row>
    <row r="480" ht="15.75" customHeight="1" s="101">
      <c r="A480" s="100" t="n"/>
      <c r="E480" s="100" t="n"/>
    </row>
    <row r="481" ht="15.75" customHeight="1" s="101">
      <c r="A481" s="100" t="n"/>
      <c r="E481" s="100" t="n"/>
    </row>
    <row r="482" ht="15.75" customHeight="1" s="101">
      <c r="A482" s="100" t="n"/>
      <c r="E482" s="100" t="n"/>
    </row>
    <row r="483" ht="15.75" customHeight="1" s="101">
      <c r="A483" s="100" t="n"/>
      <c r="E483" s="100" t="n"/>
    </row>
    <row r="484" ht="15.75" customHeight="1" s="101">
      <c r="A484" s="100" t="n"/>
      <c r="E484" s="100" t="n"/>
    </row>
    <row r="485" ht="15.75" customHeight="1" s="101">
      <c r="A485" s="100" t="n"/>
      <c r="E485" s="100" t="n"/>
    </row>
    <row r="486" ht="15.75" customHeight="1" s="101">
      <c r="A486" s="100" t="n"/>
      <c r="E486" s="100" t="n"/>
    </row>
    <row r="487" ht="15.75" customHeight="1" s="101">
      <c r="A487" s="100" t="n"/>
      <c r="E487" s="100" t="n"/>
    </row>
    <row r="488" ht="15.75" customHeight="1" s="101">
      <c r="A488" s="100" t="n"/>
      <c r="E488" s="100" t="n"/>
    </row>
    <row r="489" ht="15.75" customHeight="1" s="101">
      <c r="A489" s="100" t="n"/>
      <c r="E489" s="100" t="n"/>
    </row>
    <row r="490" ht="15.75" customHeight="1" s="101">
      <c r="A490" s="100" t="n"/>
      <c r="E490" s="100" t="n"/>
    </row>
    <row r="491" ht="15.75" customHeight="1" s="101">
      <c r="A491" s="100" t="n"/>
      <c r="E491" s="100" t="n"/>
    </row>
    <row r="492" ht="15.75" customHeight="1" s="101">
      <c r="A492" s="100" t="n"/>
      <c r="E492" s="100" t="n"/>
    </row>
    <row r="493" ht="15.75" customHeight="1" s="101">
      <c r="A493" s="100" t="n"/>
      <c r="E493" s="100" t="n"/>
    </row>
    <row r="494" ht="15.75" customHeight="1" s="101">
      <c r="A494" s="100" t="n"/>
      <c r="E494" s="100" t="n"/>
    </row>
    <row r="495" ht="15.75" customHeight="1" s="101">
      <c r="A495" s="100" t="n"/>
      <c r="E495" s="100" t="n"/>
    </row>
    <row r="496" ht="15.75" customHeight="1" s="101">
      <c r="A496" s="100" t="n"/>
      <c r="E496" s="100" t="n"/>
    </row>
    <row r="497" ht="15.75" customHeight="1" s="101">
      <c r="A497" s="100" t="n"/>
      <c r="E497" s="100" t="n"/>
    </row>
    <row r="498" ht="15.75" customHeight="1" s="101">
      <c r="A498" s="100" t="n"/>
      <c r="E498" s="100" t="n"/>
    </row>
    <row r="499" ht="15.75" customHeight="1" s="101">
      <c r="A499" s="100" t="n"/>
      <c r="E499" s="100" t="n"/>
    </row>
    <row r="500" ht="15.75" customHeight="1" s="101">
      <c r="A500" s="100" t="n"/>
      <c r="E500" s="100" t="n"/>
    </row>
    <row r="501" ht="15.75" customHeight="1" s="101"/>
    <row r="502" ht="15.75" customHeight="1" s="101"/>
    <row r="503" ht="15.75" customHeight="1" s="101"/>
    <row r="504" ht="15.75" customHeight="1" s="101"/>
    <row r="505" ht="15.75" customHeight="1" s="101"/>
    <row r="506" ht="15.75" customHeight="1" s="101"/>
    <row r="507" ht="15.75" customHeight="1" s="101"/>
    <row r="508" ht="15.75" customHeight="1" s="101"/>
    <row r="509" ht="15.75" customHeight="1" s="101"/>
    <row r="510" ht="15.75" customHeight="1" s="101"/>
    <row r="511" ht="15.75" customHeight="1" s="101"/>
    <row r="512" ht="15.75" customHeight="1" s="101"/>
    <row r="513" ht="15.75" customHeight="1" s="101"/>
    <row r="514" ht="15.75" customHeight="1" s="101"/>
    <row r="515" ht="15.75" customHeight="1" s="101"/>
    <row r="516" ht="15.75" customHeight="1" s="101"/>
    <row r="517" ht="15.75" customHeight="1" s="101"/>
    <row r="518" ht="15.75" customHeight="1" s="101"/>
    <row r="519" ht="15.75" customHeight="1" s="101"/>
    <row r="520" ht="15.75" customHeight="1" s="101"/>
    <row r="521" ht="15.75" customHeight="1" s="101"/>
    <row r="522" ht="15.75" customHeight="1" s="101"/>
    <row r="523" ht="15.75" customHeight="1" s="101"/>
    <row r="524" ht="15.75" customHeight="1" s="101"/>
    <row r="525" ht="15.75" customHeight="1" s="101"/>
    <row r="526" ht="15.75" customHeight="1" s="101"/>
    <row r="527" ht="15.75" customHeight="1" s="101"/>
    <row r="528" ht="15.75" customHeight="1" s="101"/>
    <row r="529" ht="15.75" customHeight="1" s="101"/>
    <row r="530" ht="15.75" customHeight="1" s="101"/>
    <row r="531" ht="15.75" customHeight="1" s="101"/>
    <row r="532" ht="15.75" customHeight="1" s="101"/>
    <row r="533" ht="15.75" customHeight="1" s="101"/>
    <row r="534" ht="15.75" customHeight="1" s="101"/>
    <row r="535" ht="15.75" customHeight="1" s="101"/>
    <row r="536" ht="15.75" customHeight="1" s="101"/>
    <row r="537" ht="15.75" customHeight="1" s="101"/>
    <row r="538" ht="15.75" customHeight="1" s="101"/>
    <row r="539" ht="15.75" customHeight="1" s="101"/>
    <row r="540" ht="15.75" customHeight="1" s="101"/>
    <row r="541" ht="15.75" customHeight="1" s="101"/>
    <row r="542" ht="15.75" customHeight="1" s="101"/>
    <row r="543" ht="15.75" customHeight="1" s="101"/>
    <row r="544" ht="15.75" customHeight="1" s="101"/>
    <row r="545" ht="15.75" customHeight="1" s="101"/>
    <row r="546" ht="15.75" customHeight="1" s="101"/>
    <row r="547" ht="15.75" customHeight="1" s="101"/>
    <row r="548" ht="15.75" customHeight="1" s="101"/>
    <row r="549" ht="15.75" customHeight="1" s="101"/>
    <row r="550" ht="15.75" customHeight="1" s="101"/>
    <row r="551" ht="15.75" customHeight="1" s="101"/>
    <row r="552" ht="15.75" customHeight="1" s="101"/>
    <row r="553" ht="15.75" customHeight="1" s="101"/>
    <row r="554" ht="15.75" customHeight="1" s="101"/>
    <row r="555" ht="15.75" customHeight="1" s="101"/>
    <row r="556" ht="15.75" customHeight="1" s="101"/>
    <row r="557" ht="15.75" customHeight="1" s="101"/>
    <row r="558" ht="15.75" customHeight="1" s="101"/>
    <row r="559" ht="15.75" customHeight="1" s="101"/>
    <row r="560" ht="15.75" customHeight="1" s="101"/>
    <row r="561" ht="15.75" customHeight="1" s="101"/>
    <row r="562" ht="15.75" customHeight="1" s="101"/>
    <row r="563" ht="15.75" customHeight="1" s="101"/>
    <row r="564" ht="15.75" customHeight="1" s="101"/>
    <row r="565" ht="15.75" customHeight="1" s="101"/>
    <row r="566" ht="15.75" customHeight="1" s="101"/>
    <row r="567" ht="15.75" customHeight="1" s="101"/>
    <row r="568" ht="15.75" customHeight="1" s="101"/>
    <row r="569" ht="15.75" customHeight="1" s="101"/>
    <row r="570" ht="15.75" customHeight="1" s="101"/>
    <row r="571" ht="15.75" customHeight="1" s="101"/>
    <row r="572" ht="15.75" customHeight="1" s="101"/>
    <row r="573" ht="15.75" customHeight="1" s="101"/>
    <row r="574" ht="15.75" customHeight="1" s="101"/>
    <row r="575" ht="15.75" customHeight="1" s="101"/>
    <row r="576" ht="15.75" customHeight="1" s="101"/>
    <row r="577" ht="15.75" customHeight="1" s="101"/>
    <row r="578" ht="15.75" customHeight="1" s="101"/>
    <row r="579" ht="15.75" customHeight="1" s="101"/>
    <row r="580" ht="15.75" customHeight="1" s="101"/>
    <row r="581" ht="15.75" customHeight="1" s="101"/>
    <row r="582" ht="15.75" customHeight="1" s="101"/>
    <row r="583" ht="15.75" customHeight="1" s="101"/>
    <row r="584" ht="15.75" customHeight="1" s="101"/>
    <row r="585" ht="15.75" customHeight="1" s="101"/>
    <row r="586" ht="15.75" customHeight="1" s="101"/>
    <row r="587" ht="15.75" customHeight="1" s="101"/>
    <row r="588" ht="15.75" customHeight="1" s="101"/>
    <row r="589" ht="15.75" customHeight="1" s="101"/>
    <row r="590" ht="15.75" customHeight="1" s="101"/>
    <row r="591" ht="15.75" customHeight="1" s="101"/>
    <row r="592" ht="15.75" customHeight="1" s="101"/>
    <row r="593" ht="15.75" customHeight="1" s="101"/>
    <row r="594" ht="15.75" customHeight="1" s="101"/>
    <row r="595" ht="15.75" customHeight="1" s="101"/>
    <row r="596" ht="15.75" customHeight="1" s="101"/>
    <row r="597" ht="15.75" customHeight="1" s="101"/>
    <row r="598" ht="15.75" customHeight="1" s="101"/>
    <row r="599" ht="15.75" customHeight="1" s="101"/>
    <row r="600" ht="15.75" customHeight="1" s="101"/>
    <row r="601" ht="15.75" customHeight="1" s="101"/>
    <row r="602" ht="15.75" customHeight="1" s="101"/>
    <row r="603" ht="15.75" customHeight="1" s="101"/>
    <row r="604" ht="15.75" customHeight="1" s="101"/>
    <row r="605" ht="15.75" customHeight="1" s="101"/>
    <row r="606" ht="15.75" customHeight="1" s="101"/>
    <row r="607" ht="15.75" customHeight="1" s="101"/>
    <row r="608" ht="15.75" customHeight="1" s="101"/>
    <row r="609" ht="15.75" customHeight="1" s="101"/>
    <row r="610" ht="15.75" customHeight="1" s="101"/>
    <row r="611" ht="15.75" customHeight="1" s="101"/>
    <row r="612" ht="15.75" customHeight="1" s="101"/>
    <row r="613" ht="15.75" customHeight="1" s="101"/>
    <row r="614" ht="15.75" customHeight="1" s="101"/>
    <row r="615" ht="15.75" customHeight="1" s="101"/>
    <row r="616" ht="15.75" customHeight="1" s="101"/>
    <row r="617" ht="15.75" customHeight="1" s="101"/>
    <row r="618" ht="15.75" customHeight="1" s="101"/>
    <row r="619" ht="15.75" customHeight="1" s="101"/>
    <row r="620" ht="15.75" customHeight="1" s="101"/>
    <row r="621" ht="15.75" customHeight="1" s="101"/>
    <row r="622" ht="15.75" customHeight="1" s="101"/>
    <row r="623" ht="15.75" customHeight="1" s="101"/>
    <row r="624" ht="15.75" customHeight="1" s="101"/>
    <row r="625" ht="15.75" customHeight="1" s="101"/>
    <row r="626" ht="15.75" customHeight="1" s="101"/>
    <row r="627" ht="15.75" customHeight="1" s="101"/>
    <row r="628" ht="15.75" customHeight="1" s="101"/>
    <row r="629" ht="15.75" customHeight="1" s="101"/>
    <row r="630" ht="15.75" customHeight="1" s="101"/>
    <row r="631" ht="15.75" customHeight="1" s="101"/>
    <row r="632" ht="15.75" customHeight="1" s="101"/>
    <row r="633" ht="15.75" customHeight="1" s="101"/>
    <row r="634" ht="15.75" customHeight="1" s="101"/>
    <row r="635" ht="15.75" customHeight="1" s="101"/>
    <row r="636" ht="15.75" customHeight="1" s="101"/>
    <row r="637" ht="15.75" customHeight="1" s="101"/>
    <row r="638" ht="15.75" customHeight="1" s="101"/>
    <row r="639" ht="15.75" customHeight="1" s="101"/>
    <row r="640" ht="15.75" customHeight="1" s="101"/>
    <row r="641" ht="15.75" customHeight="1" s="101"/>
    <row r="642" ht="15.75" customHeight="1" s="101"/>
    <row r="643" ht="15.75" customHeight="1" s="101"/>
    <row r="644" ht="15.75" customHeight="1" s="101"/>
    <row r="645" ht="15.75" customHeight="1" s="101"/>
    <row r="646" ht="15.75" customHeight="1" s="101"/>
    <row r="647" ht="15.75" customHeight="1" s="101"/>
    <row r="648" ht="15.75" customHeight="1" s="101"/>
    <row r="649" ht="15.75" customHeight="1" s="101"/>
    <row r="650" ht="15.75" customHeight="1" s="101"/>
    <row r="651" ht="15.75" customHeight="1" s="101"/>
    <row r="652" ht="15.75" customHeight="1" s="101"/>
    <row r="653" ht="15.75" customHeight="1" s="101"/>
    <row r="654" ht="15.75" customHeight="1" s="101"/>
    <row r="655" ht="15.75" customHeight="1" s="101"/>
    <row r="656" ht="15.75" customHeight="1" s="101"/>
    <row r="657" ht="15.75" customHeight="1" s="101"/>
    <row r="658" ht="15.75" customHeight="1" s="101"/>
    <row r="659" ht="15.75" customHeight="1" s="101"/>
    <row r="660" ht="15.75" customHeight="1" s="101"/>
    <row r="661" ht="15.75" customHeight="1" s="101"/>
    <row r="662" ht="15.75" customHeight="1" s="101"/>
    <row r="663" ht="15.75" customHeight="1" s="101"/>
    <row r="664" ht="15.75" customHeight="1" s="101"/>
    <row r="665" ht="15.75" customHeight="1" s="101"/>
    <row r="666" ht="15.75" customHeight="1" s="101"/>
    <row r="667" ht="15.75" customHeight="1" s="101"/>
    <row r="668" ht="15.75" customHeight="1" s="101"/>
    <row r="669" ht="15.75" customHeight="1" s="101"/>
    <row r="670" ht="15.75" customHeight="1" s="101"/>
    <row r="671" ht="15.75" customHeight="1" s="101"/>
    <row r="672" ht="15.75" customHeight="1" s="101"/>
    <row r="673" ht="15.75" customHeight="1" s="101"/>
    <row r="674" ht="15.75" customHeight="1" s="101"/>
    <row r="675" ht="15.75" customHeight="1" s="101"/>
    <row r="676" ht="15.75" customHeight="1" s="101"/>
    <row r="677" ht="15.75" customHeight="1" s="101"/>
    <row r="678" ht="15.75" customHeight="1" s="101"/>
    <row r="679" ht="15.75" customHeight="1" s="101"/>
    <row r="680" ht="15.75" customHeight="1" s="101"/>
    <row r="681" ht="15.75" customHeight="1" s="101"/>
    <row r="682" ht="15.75" customHeight="1" s="101"/>
    <row r="683" ht="15.75" customHeight="1" s="101"/>
    <row r="684" ht="15.75" customHeight="1" s="101"/>
    <row r="685" ht="15.75" customHeight="1" s="101"/>
    <row r="686" ht="15.75" customHeight="1" s="101"/>
    <row r="687" ht="15.75" customHeight="1" s="101"/>
    <row r="688" ht="15.75" customHeight="1" s="101"/>
    <row r="689" ht="15.75" customHeight="1" s="101"/>
    <row r="690" ht="15.75" customHeight="1" s="101"/>
    <row r="691" ht="15.75" customHeight="1" s="101"/>
    <row r="692" ht="15.75" customHeight="1" s="101"/>
    <row r="693" ht="15.75" customHeight="1" s="101"/>
    <row r="694" ht="15.75" customHeight="1" s="101"/>
    <row r="695" ht="15.75" customHeight="1" s="101"/>
    <row r="696" ht="15.75" customHeight="1" s="101"/>
    <row r="697" ht="15.75" customHeight="1" s="101"/>
    <row r="698" ht="15.75" customHeight="1" s="101"/>
    <row r="699" ht="15.75" customHeight="1" s="101"/>
    <row r="700" ht="15.75" customHeight="1" s="101"/>
    <row r="701" ht="15.75" customHeight="1" s="101"/>
    <row r="702" ht="15.75" customHeight="1" s="101"/>
    <row r="703" ht="15.75" customHeight="1" s="101"/>
    <row r="704" ht="15.75" customHeight="1" s="101"/>
    <row r="705" ht="15.75" customHeight="1" s="101"/>
    <row r="706" ht="15.75" customHeight="1" s="101"/>
    <row r="707" ht="15.75" customHeight="1" s="101"/>
    <row r="708" ht="15.75" customHeight="1" s="101"/>
    <row r="709" ht="15.75" customHeight="1" s="101"/>
    <row r="710" ht="15.75" customHeight="1" s="101"/>
    <row r="711" ht="15.75" customHeight="1" s="101"/>
    <row r="712" ht="15.75" customHeight="1" s="101"/>
    <row r="713" ht="15.75" customHeight="1" s="101"/>
    <row r="714" ht="15.75" customHeight="1" s="101"/>
    <row r="715" ht="15.75" customHeight="1" s="101"/>
    <row r="716" ht="15.75" customHeight="1" s="101"/>
    <row r="717" ht="15.75" customHeight="1" s="101"/>
    <row r="718" ht="15.75" customHeight="1" s="101"/>
    <row r="719" ht="15.75" customHeight="1" s="101"/>
    <row r="720" ht="15.75" customHeight="1" s="101"/>
    <row r="721" ht="15.75" customHeight="1" s="101"/>
    <row r="722" ht="15.75" customHeight="1" s="101"/>
    <row r="723" ht="15.75" customHeight="1" s="101"/>
    <row r="724" ht="15.75" customHeight="1" s="101"/>
    <row r="725" ht="15.75" customHeight="1" s="101"/>
    <row r="726" ht="15.75" customHeight="1" s="101"/>
    <row r="727" ht="15.75" customHeight="1" s="101"/>
    <row r="728" ht="15.75" customHeight="1" s="101"/>
    <row r="729" ht="15.75" customHeight="1" s="101"/>
    <row r="730" ht="15.75" customHeight="1" s="101"/>
    <row r="731" ht="15.75" customHeight="1" s="101"/>
    <row r="732" ht="15.75" customHeight="1" s="101"/>
    <row r="733" ht="15.75" customHeight="1" s="101"/>
    <row r="734" ht="15.75" customHeight="1" s="101"/>
    <row r="735" ht="15.75" customHeight="1" s="101"/>
    <row r="736" ht="15.75" customHeight="1" s="101"/>
    <row r="737" ht="15.75" customHeight="1" s="101"/>
    <row r="738" ht="15.75" customHeight="1" s="101"/>
    <row r="739" ht="15.75" customHeight="1" s="101"/>
    <row r="740" ht="15.75" customHeight="1" s="101"/>
    <row r="741" ht="15.75" customHeight="1" s="101"/>
    <row r="742" ht="15.75" customHeight="1" s="101"/>
    <row r="743" ht="15.75" customHeight="1" s="101"/>
    <row r="744" ht="15.75" customHeight="1" s="101"/>
    <row r="745" ht="15.75" customHeight="1" s="101"/>
    <row r="746" ht="15.75" customHeight="1" s="101"/>
    <row r="747" ht="15.75" customHeight="1" s="101"/>
    <row r="748" ht="15.75" customHeight="1" s="101"/>
    <row r="749" ht="15.75" customHeight="1" s="101"/>
    <row r="750" ht="15.75" customHeight="1" s="101"/>
    <row r="751" ht="15.75" customHeight="1" s="101"/>
    <row r="752" ht="15.75" customHeight="1" s="101"/>
    <row r="753" ht="15.75" customHeight="1" s="101"/>
    <row r="754" ht="15.75" customHeight="1" s="101"/>
    <row r="755" ht="15.75" customHeight="1" s="101"/>
    <row r="756" ht="15.75" customHeight="1" s="101"/>
    <row r="757" ht="15.75" customHeight="1" s="101"/>
    <row r="758" ht="15.75" customHeight="1" s="101"/>
    <row r="759" ht="15.75" customHeight="1" s="101"/>
    <row r="760" ht="15.75" customHeight="1" s="101"/>
    <row r="761" ht="15.75" customHeight="1" s="101"/>
    <row r="762" ht="15.75" customHeight="1" s="101"/>
    <row r="763" ht="15.75" customHeight="1" s="101"/>
    <row r="764" ht="15.75" customHeight="1" s="101"/>
    <row r="765" ht="15.75" customHeight="1" s="101"/>
    <row r="766" ht="15.75" customHeight="1" s="101"/>
    <row r="767" ht="15.75" customHeight="1" s="101"/>
    <row r="768" ht="15.75" customHeight="1" s="101"/>
    <row r="769" ht="15.75" customHeight="1" s="101"/>
    <row r="770" ht="15.75" customHeight="1" s="101"/>
    <row r="771" ht="15.75" customHeight="1" s="101"/>
    <row r="772" ht="15.75" customHeight="1" s="101"/>
    <row r="773" ht="15.75" customHeight="1" s="101"/>
    <row r="774" ht="15.75" customHeight="1" s="101"/>
    <row r="775" ht="15.75" customHeight="1" s="101"/>
    <row r="776" ht="15.75" customHeight="1" s="101"/>
    <row r="777" ht="15.75" customHeight="1" s="101"/>
    <row r="778" ht="15.75" customHeight="1" s="101"/>
    <row r="779" ht="15.75" customHeight="1" s="101"/>
    <row r="780" ht="15.75" customHeight="1" s="101"/>
    <row r="781" ht="15.75" customHeight="1" s="101"/>
    <row r="782" ht="15.75" customHeight="1" s="101"/>
    <row r="783" ht="15.75" customHeight="1" s="101"/>
    <row r="784" ht="15.75" customHeight="1" s="101"/>
    <row r="785" ht="15.75" customHeight="1" s="101"/>
    <row r="786" ht="15.75" customHeight="1" s="101"/>
    <row r="787" ht="15.75" customHeight="1" s="101"/>
    <row r="788" ht="15.75" customHeight="1" s="101"/>
    <row r="789" ht="15.75" customHeight="1" s="101"/>
    <row r="790" ht="15.75" customHeight="1" s="101"/>
    <row r="791" ht="15.75" customHeight="1" s="101"/>
    <row r="792" ht="15.75" customHeight="1" s="101"/>
    <row r="793" ht="15.75" customHeight="1" s="101"/>
    <row r="794" ht="15.75" customHeight="1" s="101"/>
    <row r="795" ht="15.75" customHeight="1" s="101"/>
    <row r="796" ht="15.75" customHeight="1" s="101"/>
    <row r="797" ht="15.75" customHeight="1" s="101"/>
    <row r="798" ht="15.75" customHeight="1" s="101"/>
    <row r="799" ht="15.75" customHeight="1" s="101"/>
    <row r="800" ht="15.75" customHeight="1" s="101"/>
    <row r="801" ht="15.75" customHeight="1" s="101"/>
    <row r="802" ht="15.75" customHeight="1" s="101"/>
    <row r="803" ht="15.75" customHeight="1" s="101"/>
    <row r="804" ht="15.75" customHeight="1" s="101"/>
    <row r="805" ht="15.75" customHeight="1" s="101"/>
    <row r="806" ht="15.75" customHeight="1" s="101"/>
    <row r="807" ht="15.75" customHeight="1" s="101"/>
    <row r="808" ht="15.75" customHeight="1" s="101"/>
    <row r="809" ht="15.75" customHeight="1" s="101"/>
    <row r="810" ht="15.75" customHeight="1" s="101"/>
    <row r="811" ht="15.75" customHeight="1" s="101"/>
    <row r="812" ht="15.75" customHeight="1" s="101"/>
    <row r="813" ht="15.75" customHeight="1" s="101"/>
    <row r="814" ht="15.75" customHeight="1" s="101"/>
    <row r="815" ht="15.75" customHeight="1" s="101"/>
    <row r="816" ht="15.75" customHeight="1" s="101"/>
    <row r="817" ht="15.75" customHeight="1" s="101"/>
    <row r="818" ht="15.75" customHeight="1" s="101"/>
    <row r="819" ht="15.75" customHeight="1" s="101"/>
    <row r="820" ht="15.75" customHeight="1" s="101"/>
    <row r="821" ht="15.75" customHeight="1" s="101"/>
    <row r="822" ht="15.75" customHeight="1" s="101"/>
    <row r="823" ht="15.75" customHeight="1" s="101"/>
    <row r="824" ht="15.75" customHeight="1" s="101"/>
    <row r="825" ht="15.75" customHeight="1" s="101"/>
    <row r="826" ht="15.75" customHeight="1" s="101"/>
    <row r="827" ht="15.75" customHeight="1" s="101"/>
    <row r="828" ht="15.75" customHeight="1" s="101"/>
    <row r="829" ht="15.75" customHeight="1" s="101"/>
    <row r="830" ht="15.75" customHeight="1" s="101"/>
    <row r="831" ht="15.75" customHeight="1" s="101"/>
    <row r="832" ht="15.75" customHeight="1" s="101"/>
    <row r="833" ht="15.75" customHeight="1" s="101"/>
    <row r="834" ht="15.75" customHeight="1" s="101"/>
    <row r="835" ht="15.75" customHeight="1" s="101"/>
    <row r="836" ht="15.75" customHeight="1" s="101"/>
    <row r="837" ht="15.75" customHeight="1" s="101"/>
    <row r="838" ht="15.75" customHeight="1" s="101"/>
    <row r="839" ht="15.75" customHeight="1" s="101"/>
    <row r="840" ht="15.75" customHeight="1" s="101"/>
    <row r="841" ht="15.75" customHeight="1" s="101"/>
    <row r="842" ht="15.75" customHeight="1" s="101"/>
    <row r="843" ht="15.75" customHeight="1" s="101"/>
    <row r="844" ht="15.75" customHeight="1" s="101"/>
    <row r="845" ht="15.75" customHeight="1" s="101"/>
    <row r="846" ht="15.75" customHeight="1" s="101"/>
    <row r="847" ht="15.75" customHeight="1" s="101"/>
    <row r="848" ht="15.75" customHeight="1" s="101"/>
    <row r="849" ht="15.75" customHeight="1" s="101"/>
    <row r="850" ht="15.75" customHeight="1" s="101"/>
    <row r="851" ht="15.75" customHeight="1" s="101"/>
    <row r="852" ht="15.75" customHeight="1" s="101"/>
    <row r="853" ht="15.75" customHeight="1" s="101"/>
    <row r="854" ht="15.75" customHeight="1" s="101"/>
    <row r="855" ht="15.75" customHeight="1" s="101"/>
    <row r="856" ht="15.75" customHeight="1" s="101"/>
    <row r="857" ht="15.75" customHeight="1" s="101"/>
    <row r="858" ht="15.75" customHeight="1" s="101"/>
    <row r="859" ht="15.75" customHeight="1" s="101"/>
    <row r="860" ht="15.75" customHeight="1" s="101"/>
    <row r="861" ht="15.75" customHeight="1" s="101"/>
    <row r="862" ht="15.75" customHeight="1" s="101"/>
    <row r="863" ht="15.75" customHeight="1" s="101"/>
    <row r="864" ht="15.75" customHeight="1" s="101"/>
    <row r="865" ht="15.75" customHeight="1" s="101"/>
    <row r="866" ht="15.75" customHeight="1" s="101"/>
    <row r="867" ht="15.75" customHeight="1" s="101"/>
    <row r="868" ht="15.75" customHeight="1" s="101"/>
    <row r="869" ht="15.75" customHeight="1" s="101"/>
    <row r="870" ht="15.75" customHeight="1" s="101"/>
    <row r="871" ht="15.75" customHeight="1" s="101"/>
    <row r="872" ht="15.75" customHeight="1" s="101"/>
    <row r="873" ht="15.75" customHeight="1" s="101"/>
    <row r="874" ht="15.75" customHeight="1" s="101"/>
    <row r="875" ht="15.75" customHeight="1" s="101"/>
    <row r="876" ht="15.75" customHeight="1" s="101"/>
    <row r="877" ht="15.75" customHeight="1" s="101"/>
    <row r="878" ht="15.75" customHeight="1" s="101"/>
    <row r="879" ht="15.75" customHeight="1" s="101"/>
    <row r="880" ht="15.75" customHeight="1" s="101"/>
    <row r="881" ht="15.75" customHeight="1" s="101"/>
    <row r="882" ht="15.75" customHeight="1" s="101"/>
    <row r="883" ht="15.75" customHeight="1" s="101"/>
    <row r="884" ht="15.75" customHeight="1" s="101"/>
    <row r="885" ht="15.75" customHeight="1" s="101"/>
    <row r="886" ht="15.75" customHeight="1" s="101"/>
    <row r="887" ht="15.75" customHeight="1" s="101"/>
    <row r="888" ht="15.75" customHeight="1" s="101"/>
    <row r="889" ht="15.75" customHeight="1" s="101"/>
    <row r="890" ht="15.75" customHeight="1" s="101"/>
    <row r="891" ht="15.75" customHeight="1" s="101"/>
    <row r="892" ht="15.75" customHeight="1" s="101"/>
    <row r="893" ht="15.75" customHeight="1" s="101"/>
    <row r="894" ht="15.75" customHeight="1" s="101"/>
    <row r="895" ht="15.75" customHeight="1" s="101"/>
    <row r="896" ht="15.75" customHeight="1" s="101"/>
    <row r="897" ht="15.75" customHeight="1" s="101"/>
    <row r="898" ht="15.75" customHeight="1" s="101"/>
    <row r="899" ht="15.75" customHeight="1" s="101"/>
    <row r="900" ht="15.75" customHeight="1" s="101"/>
    <row r="901" ht="15.75" customHeight="1" s="101"/>
    <row r="902" ht="15.75" customHeight="1" s="101"/>
    <row r="903" ht="15.75" customHeight="1" s="101"/>
    <row r="904" ht="15.75" customHeight="1" s="101"/>
    <row r="905" ht="15.75" customHeight="1" s="101"/>
    <row r="906" ht="15.75" customHeight="1" s="101"/>
    <row r="907" ht="15.75" customHeight="1" s="101"/>
    <row r="908" ht="15.75" customHeight="1" s="101"/>
    <row r="909" ht="15.75" customHeight="1" s="101"/>
    <row r="910" ht="15.75" customHeight="1" s="101"/>
    <row r="911" ht="15.75" customHeight="1" s="101"/>
    <row r="912" ht="15.75" customHeight="1" s="101"/>
    <row r="913" ht="15.75" customHeight="1" s="101"/>
    <row r="914" ht="15.75" customHeight="1" s="101"/>
    <row r="915" ht="15.75" customHeight="1" s="101"/>
    <row r="916" ht="15.75" customHeight="1" s="101"/>
    <row r="917" ht="15.75" customHeight="1" s="101"/>
    <row r="918" ht="15.75" customHeight="1" s="101"/>
    <row r="919" ht="15.75" customHeight="1" s="101"/>
    <row r="920" ht="15.75" customHeight="1" s="101"/>
    <row r="921" ht="15.75" customHeight="1" s="101"/>
    <row r="922" ht="15.75" customHeight="1" s="101"/>
    <row r="923" ht="15.75" customHeight="1" s="101"/>
    <row r="924" ht="15.75" customHeight="1" s="101"/>
    <row r="925" ht="15.75" customHeight="1" s="101"/>
    <row r="926" ht="15.75" customHeight="1" s="101"/>
    <row r="927" ht="15.75" customHeight="1" s="101"/>
    <row r="928" ht="15.75" customHeight="1" s="101"/>
    <row r="929" ht="15.75" customHeight="1" s="101"/>
    <row r="930" ht="15.75" customHeight="1" s="101"/>
    <row r="931" ht="15.75" customHeight="1" s="101"/>
    <row r="932" ht="15.75" customHeight="1" s="101"/>
    <row r="933" ht="15.75" customHeight="1" s="101"/>
    <row r="934" ht="15.75" customHeight="1" s="101"/>
    <row r="935" ht="15.75" customHeight="1" s="101"/>
    <row r="936" ht="15.75" customHeight="1" s="101"/>
    <row r="937" ht="15.75" customHeight="1" s="101"/>
    <row r="938" ht="15.75" customHeight="1" s="101"/>
    <row r="939" ht="15.75" customHeight="1" s="101"/>
    <row r="940" ht="15.75" customHeight="1" s="101"/>
    <row r="941" ht="15.75" customHeight="1" s="101"/>
    <row r="942" ht="15.75" customHeight="1" s="101"/>
    <row r="943" ht="15.75" customHeight="1" s="101"/>
    <row r="944" ht="15.75" customHeight="1" s="101"/>
    <row r="945" ht="15.75" customHeight="1" s="101"/>
    <row r="946" ht="15.75" customHeight="1" s="101"/>
    <row r="947" ht="15.75" customHeight="1" s="101"/>
    <row r="948" ht="15.75" customHeight="1" s="101"/>
    <row r="949" ht="15.75" customHeight="1" s="101"/>
    <row r="950" ht="15.75" customHeight="1" s="101"/>
    <row r="951" ht="15.75" customHeight="1" s="101"/>
    <row r="952" ht="15.75" customHeight="1" s="101"/>
    <row r="953" ht="15.75" customHeight="1" s="101"/>
    <row r="954" ht="15.75" customHeight="1" s="101"/>
    <row r="955" ht="15.75" customHeight="1" s="101"/>
    <row r="956" ht="15.75" customHeight="1" s="101"/>
    <row r="957" ht="15.75" customHeight="1" s="101"/>
    <row r="958" ht="15.75" customHeight="1" s="101"/>
    <row r="959" ht="15.75" customHeight="1" s="101"/>
    <row r="960" ht="15.75" customHeight="1" s="101"/>
    <row r="961" ht="15.75" customHeight="1" s="101"/>
    <row r="962" ht="15.75" customHeight="1" s="101"/>
    <row r="963" ht="15.75" customHeight="1" s="101"/>
    <row r="964" ht="15.75" customHeight="1" s="101"/>
    <row r="965" ht="15.75" customHeight="1" s="101"/>
    <row r="966" ht="15.75" customHeight="1" s="101"/>
    <row r="967" ht="15.75" customHeight="1" s="101"/>
    <row r="968" ht="15.75" customHeight="1" s="101"/>
    <row r="969" ht="15.75" customHeight="1" s="101"/>
    <row r="970" ht="15.75" customHeight="1" s="101"/>
    <row r="971" ht="15.75" customHeight="1" s="101"/>
    <row r="972" ht="15.75" customHeight="1" s="101"/>
    <row r="973" ht="15.75" customHeight="1" s="101"/>
    <row r="974" ht="15.75" customHeight="1" s="101"/>
    <row r="975" ht="15.75" customHeight="1" s="101"/>
    <row r="976" ht="15.75" customHeight="1" s="101"/>
    <row r="977" ht="15.75" customHeight="1" s="101"/>
    <row r="978" ht="15.75" customHeight="1" s="101"/>
    <row r="979" ht="15.75" customHeight="1" s="101"/>
    <row r="980" ht="15.75" customHeight="1" s="101"/>
    <row r="981" ht="15.75" customHeight="1" s="101"/>
    <row r="982" ht="15.75" customHeight="1" s="101"/>
    <row r="983" ht="15.75" customHeight="1" s="101"/>
    <row r="984" ht="15.75" customHeight="1" s="101"/>
    <row r="985" ht="15.75" customHeight="1" s="101"/>
    <row r="986" ht="15.75" customHeight="1" s="101"/>
    <row r="987" ht="15.75" customHeight="1" s="101"/>
    <row r="988" ht="15.75" customHeight="1" s="101"/>
    <row r="989" ht="15.75" customHeight="1" s="101"/>
    <row r="990" ht="15.75" customHeight="1" s="101"/>
    <row r="991" ht="15.75" customHeight="1" s="101"/>
    <row r="992" ht="15.75" customHeight="1" s="101"/>
    <row r="993" ht="15.75" customHeight="1" s="101"/>
    <row r="994" ht="15.75" customHeight="1" s="101"/>
    <row r="995" ht="15.75" customHeight="1" s="101"/>
    <row r="996" ht="15.75" customHeight="1" s="101"/>
    <row r="997" ht="15.75" customHeight="1" s="101"/>
    <row r="998" ht="15.75" customHeight="1" s="101"/>
    <row r="999" ht="15.75" customHeight="1" s="101"/>
    <row r="1000" ht="15.75" customHeight="1" s="101"/>
  </sheetData>
  <autoFilter ref="$A$1:$E$1"/>
  <conditionalFormatting sqref="A2:E200">
    <cfRule type="expression" priority="1" dxfId="0">
      <formula>$E2="Pendente"</formula>
    </cfRule>
    <cfRule type="expression" priority="2" dxfId="1">
      <formula>$E2="Pago"</formula>
    </cfRule>
  </conditionalFormatting>
  <dataValidations count="2">
    <dataValidation sqref="E2:E500" showDropDown="0" showInputMessage="0" showErrorMessage="0" allowBlank="1" type="list">
      <formula1>"Pendente,Pago"</formula1>
    </dataValidation>
    <dataValidation sqref="A2:A500" showDropDown="0" showInputMessage="0" showErrorMessage="0" allowBlank="1" type="list">
      <formula1>"Cartão Will,Cartão Sá"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FF808080"/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101" min="1" max="1"/>
    <col width="8.710000000000001" customWidth="1" style="101" min="2" max="2"/>
    <col width="14" customWidth="1" style="101" min="3" max="3"/>
    <col width="8.710000000000001" customWidth="1" style="101" min="4" max="4"/>
    <col width="12" customWidth="1" style="101" min="5" max="5"/>
    <col width="8.710000000000001" customWidth="1" style="101" min="6" max="6"/>
    <col width="8" customWidth="1" style="101" min="7" max="7"/>
    <col width="8.710000000000001" customWidth="1" style="101" min="8" max="8"/>
    <col width="6" customWidth="1" style="101" min="9" max="9"/>
    <col width="14" customWidth="1" style="101" min="10" max="10"/>
    <col width="8.710000000000001" customWidth="1" style="101" min="11" max="26"/>
  </cols>
  <sheetData>
    <row r="1">
      <c r="A1" s="99" t="inlineStr">
        <is>
          <t>Categorias</t>
        </is>
      </c>
      <c r="C1" s="99" t="inlineStr">
        <is>
          <t>Responsáveis</t>
        </is>
      </c>
      <c r="E1" s="99" t="inlineStr">
        <is>
          <t>Status</t>
        </is>
      </c>
      <c r="G1" s="99" t="inlineStr">
        <is>
          <t>Ciclo</t>
        </is>
      </c>
      <c r="I1" s="99" t="inlineStr">
        <is>
          <t>Nº</t>
        </is>
      </c>
      <c r="J1" s="99" t="inlineStr">
        <is>
          <t>Mês</t>
        </is>
      </c>
    </row>
    <row r="2">
      <c r="A2" s="100" t="inlineStr">
        <is>
          <t>Salário</t>
        </is>
      </c>
      <c r="C2" s="100" t="inlineStr">
        <is>
          <t>Will</t>
        </is>
      </c>
      <c r="E2" s="100" t="inlineStr">
        <is>
          <t>Pendente</t>
        </is>
      </c>
      <c r="G2" s="100" t="n">
        <v>1</v>
      </c>
      <c r="I2" s="100" t="n">
        <v>1</v>
      </c>
      <c r="J2" s="100" t="inlineStr">
        <is>
          <t>Janeiro</t>
        </is>
      </c>
    </row>
    <row r="3">
      <c r="A3" s="100" t="inlineStr">
        <is>
          <t>13° Salário - Dez</t>
        </is>
      </c>
      <c r="C3" s="100" t="inlineStr">
        <is>
          <t>Sá</t>
        </is>
      </c>
      <c r="E3" s="100" t="inlineStr">
        <is>
          <t>Pago</t>
        </is>
      </c>
      <c r="G3" s="100" t="n">
        <v>2</v>
      </c>
      <c r="I3" s="100" t="n">
        <v>2</v>
      </c>
      <c r="J3" s="100" t="inlineStr">
        <is>
          <t>Fevereiro</t>
        </is>
      </c>
    </row>
    <row r="4">
      <c r="A4" s="100" t="inlineStr">
        <is>
          <t>PLR</t>
        </is>
      </c>
      <c r="C4" s="100" t="inlineStr">
        <is>
          <t>Ambos</t>
        </is>
      </c>
      <c r="E4" s="100" t="inlineStr">
        <is>
          <t>A Pagar</t>
        </is>
      </c>
      <c r="I4" s="100" t="n">
        <v>3</v>
      </c>
      <c r="J4" s="100" t="inlineStr">
        <is>
          <t>Março</t>
        </is>
      </c>
    </row>
    <row r="5">
      <c r="A5" s="100" t="inlineStr">
        <is>
          <t>Férias</t>
        </is>
      </c>
      <c r="E5" s="100" t="inlineStr">
        <is>
          <t>Recebido</t>
        </is>
      </c>
      <c r="I5" s="100" t="n">
        <v>4</v>
      </c>
      <c r="J5" s="100" t="inlineStr">
        <is>
          <t>Abril</t>
        </is>
      </c>
    </row>
    <row r="6">
      <c r="A6" s="100" t="inlineStr">
        <is>
          <t>Renda Extra</t>
        </is>
      </c>
      <c r="I6" s="100" t="n">
        <v>5</v>
      </c>
      <c r="J6" s="100" t="inlineStr">
        <is>
          <t>Maio</t>
        </is>
      </c>
    </row>
    <row r="7">
      <c r="A7" s="100" t="inlineStr">
        <is>
          <t>Luz</t>
        </is>
      </c>
      <c r="I7" s="100" t="n">
        <v>6</v>
      </c>
      <c r="J7" s="100" t="inlineStr">
        <is>
          <t>Junho</t>
        </is>
      </c>
    </row>
    <row r="8">
      <c r="A8" s="100" t="inlineStr">
        <is>
          <t>Internet</t>
        </is>
      </c>
      <c r="I8" s="100" t="n">
        <v>7</v>
      </c>
      <c r="J8" s="100" t="inlineStr">
        <is>
          <t>Julho</t>
        </is>
      </c>
    </row>
    <row r="9">
      <c r="A9" s="100" t="inlineStr">
        <is>
          <t>Condominio</t>
        </is>
      </c>
      <c r="I9" s="100" t="n">
        <v>8</v>
      </c>
      <c r="J9" s="100" t="inlineStr">
        <is>
          <t>Agosto</t>
        </is>
      </c>
    </row>
    <row r="10">
      <c r="A10" s="100" t="inlineStr">
        <is>
          <t>Cartão Will</t>
        </is>
      </c>
      <c r="I10" s="100" t="n">
        <v>9</v>
      </c>
      <c r="J10" s="100" t="inlineStr">
        <is>
          <t>Setembro</t>
        </is>
      </c>
    </row>
    <row r="11">
      <c r="A11" s="100" t="inlineStr">
        <is>
          <t>Cartão Sá</t>
        </is>
      </c>
      <c r="I11" s="100" t="n">
        <v>10</v>
      </c>
      <c r="J11" s="100" t="inlineStr">
        <is>
          <t>Outubro</t>
        </is>
      </c>
    </row>
    <row r="12">
      <c r="A12" s="100" t="inlineStr">
        <is>
          <t>Gás</t>
        </is>
      </c>
      <c r="I12" s="100" t="n">
        <v>11</v>
      </c>
      <c r="J12" s="100" t="inlineStr">
        <is>
          <t>Novembro</t>
        </is>
      </c>
    </row>
    <row r="13">
      <c r="A13" s="100" t="inlineStr">
        <is>
          <t>Pets</t>
        </is>
      </c>
      <c r="I13" s="100" t="n">
        <v>12</v>
      </c>
      <c r="J13" s="100" t="inlineStr">
        <is>
          <t>Dezembro</t>
        </is>
      </c>
    </row>
    <row r="14">
      <c r="A14" s="100" t="inlineStr">
        <is>
          <t>Unha mão</t>
        </is>
      </c>
    </row>
    <row r="15">
      <c r="A15" s="100" t="inlineStr">
        <is>
          <t>Mercado</t>
        </is>
      </c>
    </row>
    <row r="16">
      <c r="A16" s="100" t="inlineStr">
        <is>
          <t>Aluguel</t>
        </is>
      </c>
    </row>
    <row r="17">
      <c r="A17" s="100" t="inlineStr">
        <is>
          <t>Farmácia</t>
        </is>
      </c>
    </row>
    <row r="18">
      <c r="A18" s="100" t="inlineStr">
        <is>
          <t>Transporte</t>
        </is>
      </c>
    </row>
    <row r="19">
      <c r="A19" s="100" t="inlineStr">
        <is>
          <t>Lazer</t>
        </is>
      </c>
    </row>
    <row r="20">
      <c r="A20" s="100" t="inlineStr">
        <is>
          <t>Alimentação</t>
        </is>
      </c>
    </row>
    <row r="21" ht="15.75" customHeight="1" s="101">
      <c r="A21" s="100" t="inlineStr">
        <is>
          <t>Outros</t>
        </is>
      </c>
    </row>
    <row r="22" ht="15.75" customHeight="1" s="101">
      <c r="A22" s="100" t="inlineStr">
        <is>
          <t>13° Salário - Jun</t>
        </is>
      </c>
    </row>
    <row r="23" ht="15.75" customHeight="1" s="101">
      <c r="A23" s="100" t="inlineStr">
        <is>
          <t>Adiantamento</t>
        </is>
      </c>
    </row>
    <row r="24" ht="15.75" customHeight="1" s="101"/>
    <row r="25" ht="15.75" customHeight="1" s="101"/>
    <row r="26" ht="15.75" customHeight="1" s="101">
      <c r="A26" s="100" t="inlineStr">
        <is>
          <t>Sem Parar - TAG</t>
        </is>
      </c>
    </row>
    <row r="27" ht="15.75" customHeight="1" s="101">
      <c r="A27" s="100" t="inlineStr">
        <is>
          <t>Combustível</t>
        </is>
      </c>
    </row>
    <row r="28" ht="15.75" customHeight="1" s="101"/>
    <row r="29" ht="15.75" customHeight="1" s="101"/>
    <row r="30" ht="15.75" customHeight="1" s="101"/>
    <row r="31" ht="15.75" customHeight="1" s="101"/>
    <row r="32" ht="15.75" customHeight="1" s="101"/>
    <row r="33" ht="15.75" customHeight="1" s="101"/>
    <row r="34" ht="15.75" customHeight="1" s="101"/>
    <row r="35" ht="15.75" customHeight="1" s="101"/>
    <row r="36" ht="15.75" customHeight="1" s="101"/>
    <row r="37" ht="15.75" customHeight="1" s="101"/>
    <row r="38" ht="15.75" customHeight="1" s="101"/>
    <row r="39" ht="15.75" customHeight="1" s="101"/>
    <row r="40" ht="15.75" customHeight="1" s="101"/>
    <row r="41" ht="15.75" customHeight="1" s="101"/>
    <row r="42" ht="15.75" customHeight="1" s="101"/>
    <row r="43" ht="15.75" customHeight="1" s="101"/>
    <row r="44" ht="15.75" customHeight="1" s="101"/>
    <row r="45" ht="15.75" customHeight="1" s="101"/>
    <row r="46" ht="15.75" customHeight="1" s="101"/>
    <row r="47" ht="15.75" customHeight="1" s="101"/>
    <row r="48" ht="15.75" customHeight="1" s="101"/>
    <row r="49" ht="15.75" customHeight="1" s="101"/>
    <row r="50" ht="15.75" customHeight="1" s="101"/>
    <row r="51" ht="15.75" customHeight="1" s="101"/>
    <row r="52" ht="15.75" customHeight="1" s="101"/>
    <row r="53" ht="15.75" customHeight="1" s="101"/>
    <row r="54" ht="15.75" customHeight="1" s="101"/>
    <row r="55" ht="15.75" customHeight="1" s="101"/>
    <row r="56" ht="15.75" customHeight="1" s="101"/>
    <row r="57" ht="15.75" customHeight="1" s="101"/>
    <row r="58" ht="15.75" customHeight="1" s="101"/>
    <row r="59" ht="15.75" customHeight="1" s="101"/>
    <row r="60" ht="15.75" customHeight="1" s="101"/>
    <row r="61" ht="15.75" customHeight="1" s="101"/>
    <row r="62" ht="15.75" customHeight="1" s="101"/>
    <row r="63" ht="15.75" customHeight="1" s="101"/>
    <row r="64" ht="15.75" customHeight="1" s="101"/>
    <row r="65" ht="15.75" customHeight="1" s="101"/>
    <row r="66" ht="15.75" customHeight="1" s="101"/>
    <row r="67" ht="15.75" customHeight="1" s="101"/>
    <row r="68" ht="15.75" customHeight="1" s="101"/>
    <row r="69" ht="15.75" customHeight="1" s="101"/>
    <row r="70" ht="15.75" customHeight="1" s="101"/>
    <row r="71" ht="15.75" customHeight="1" s="101"/>
    <row r="72" ht="15.75" customHeight="1" s="101"/>
    <row r="73" ht="15.75" customHeight="1" s="101"/>
    <row r="74" ht="15.75" customHeight="1" s="101"/>
    <row r="75" ht="15.75" customHeight="1" s="101"/>
    <row r="76" ht="15.75" customHeight="1" s="101"/>
    <row r="77" ht="15.75" customHeight="1" s="101"/>
    <row r="78" ht="15.75" customHeight="1" s="101"/>
    <row r="79" ht="15.75" customHeight="1" s="101"/>
    <row r="80" ht="15.75" customHeight="1" s="101"/>
    <row r="81" ht="15.75" customHeight="1" s="101"/>
    <row r="82" ht="15.75" customHeight="1" s="101"/>
    <row r="83" ht="15.75" customHeight="1" s="101"/>
    <row r="84" ht="15.75" customHeight="1" s="101"/>
    <row r="85" ht="15.75" customHeight="1" s="101"/>
    <row r="86" ht="15.75" customHeight="1" s="101"/>
    <row r="87" ht="15.75" customHeight="1" s="101"/>
    <row r="88" ht="15.75" customHeight="1" s="101"/>
    <row r="89" ht="15.75" customHeight="1" s="101"/>
    <row r="90" ht="15.75" customHeight="1" s="101"/>
    <row r="91" ht="15.75" customHeight="1" s="101"/>
    <row r="92" ht="15.75" customHeight="1" s="101"/>
    <row r="93" ht="15.75" customHeight="1" s="101"/>
    <row r="94" ht="15.75" customHeight="1" s="101"/>
    <row r="95" ht="15.75" customHeight="1" s="101"/>
    <row r="96" ht="15.75" customHeight="1" s="101"/>
    <row r="97" ht="15.75" customHeight="1" s="101"/>
    <row r="98" ht="15.75" customHeight="1" s="101"/>
    <row r="99" ht="15.75" customHeight="1" s="101"/>
    <row r="100" ht="15.75" customHeight="1" s="101"/>
    <row r="101" ht="15.75" customHeight="1" s="101"/>
    <row r="102" ht="15.75" customHeight="1" s="101"/>
    <row r="103" ht="15.75" customHeight="1" s="101"/>
    <row r="104" ht="15.75" customHeight="1" s="101"/>
    <row r="105" ht="15.75" customHeight="1" s="101"/>
    <row r="106" ht="15.75" customHeight="1" s="101"/>
    <row r="107" ht="15.75" customHeight="1" s="101"/>
    <row r="108" ht="15.75" customHeight="1" s="101"/>
    <row r="109" ht="15.75" customHeight="1" s="101"/>
    <row r="110" ht="15.75" customHeight="1" s="101"/>
    <row r="111" ht="15.75" customHeight="1" s="101"/>
    <row r="112" ht="15.75" customHeight="1" s="101"/>
    <row r="113" ht="15.75" customHeight="1" s="101"/>
    <row r="114" ht="15.75" customHeight="1" s="101"/>
    <row r="115" ht="15.75" customHeight="1" s="101"/>
    <row r="116" ht="15.75" customHeight="1" s="101"/>
    <row r="117" ht="15.75" customHeight="1" s="101"/>
    <row r="118" ht="15.75" customHeight="1" s="101"/>
    <row r="119" ht="15.75" customHeight="1" s="101"/>
    <row r="120" ht="15.75" customHeight="1" s="101"/>
    <row r="121" ht="15.75" customHeight="1" s="101"/>
    <row r="122" ht="15.75" customHeight="1" s="101"/>
    <row r="123" ht="15.75" customHeight="1" s="101"/>
    <row r="124" ht="15.75" customHeight="1" s="101"/>
    <row r="125" ht="15.75" customHeight="1" s="101"/>
    <row r="126" ht="15.75" customHeight="1" s="101"/>
    <row r="127" ht="15.75" customHeight="1" s="101"/>
    <row r="128" ht="15.75" customHeight="1" s="101"/>
    <row r="129" ht="15.75" customHeight="1" s="101"/>
    <row r="130" ht="15.75" customHeight="1" s="101"/>
    <row r="131" ht="15.75" customHeight="1" s="101"/>
    <row r="132" ht="15.75" customHeight="1" s="101"/>
    <row r="133" ht="15.75" customHeight="1" s="101"/>
    <row r="134" ht="15.75" customHeight="1" s="101"/>
    <row r="135" ht="15.75" customHeight="1" s="101"/>
    <row r="136" ht="15.75" customHeight="1" s="101"/>
    <row r="137" ht="15.75" customHeight="1" s="101"/>
    <row r="138" ht="15.75" customHeight="1" s="101"/>
    <row r="139" ht="15.75" customHeight="1" s="101"/>
    <row r="140" ht="15.75" customHeight="1" s="101"/>
    <row r="141" ht="15.75" customHeight="1" s="101"/>
    <row r="142" ht="15.75" customHeight="1" s="101"/>
    <row r="143" ht="15.75" customHeight="1" s="101"/>
    <row r="144" ht="15.75" customHeight="1" s="101"/>
    <row r="145" ht="15.75" customHeight="1" s="101"/>
    <row r="146" ht="15.75" customHeight="1" s="101"/>
    <row r="147" ht="15.75" customHeight="1" s="101"/>
    <row r="148" ht="15.75" customHeight="1" s="101"/>
    <row r="149" ht="15.75" customHeight="1" s="101"/>
    <row r="150" ht="15.75" customHeight="1" s="101"/>
    <row r="151" ht="15.75" customHeight="1" s="101"/>
    <row r="152" ht="15.75" customHeight="1" s="101"/>
    <row r="153" ht="15.75" customHeight="1" s="101"/>
    <row r="154" ht="15.75" customHeight="1" s="101"/>
    <row r="155" ht="15.75" customHeight="1" s="101"/>
    <row r="156" ht="15.75" customHeight="1" s="101"/>
    <row r="157" ht="15.75" customHeight="1" s="101"/>
    <row r="158" ht="15.75" customHeight="1" s="101"/>
    <row r="159" ht="15.75" customHeight="1" s="101"/>
    <row r="160" ht="15.75" customHeight="1" s="101"/>
    <row r="161" ht="15.75" customHeight="1" s="101"/>
    <row r="162" ht="15.75" customHeight="1" s="101"/>
    <row r="163" ht="15.75" customHeight="1" s="101"/>
    <row r="164" ht="15.75" customHeight="1" s="101"/>
    <row r="165" ht="15.75" customHeight="1" s="101"/>
    <row r="166" ht="15.75" customHeight="1" s="101"/>
    <row r="167" ht="15.75" customHeight="1" s="101"/>
    <row r="168" ht="15.75" customHeight="1" s="101"/>
    <row r="169" ht="15.75" customHeight="1" s="101"/>
    <row r="170" ht="15.75" customHeight="1" s="101"/>
    <row r="171" ht="15.75" customHeight="1" s="101"/>
    <row r="172" ht="15.75" customHeight="1" s="101"/>
    <row r="173" ht="15.75" customHeight="1" s="101"/>
    <row r="174" ht="15.75" customHeight="1" s="101"/>
    <row r="175" ht="15.75" customHeight="1" s="101"/>
    <row r="176" ht="15.75" customHeight="1" s="101"/>
    <row r="177" ht="15.75" customHeight="1" s="101"/>
    <row r="178" ht="15.75" customHeight="1" s="101"/>
    <row r="179" ht="15.75" customHeight="1" s="101"/>
    <row r="180" ht="15.75" customHeight="1" s="101"/>
    <row r="181" ht="15.75" customHeight="1" s="101"/>
    <row r="182" ht="15.75" customHeight="1" s="101"/>
    <row r="183" ht="15.75" customHeight="1" s="101"/>
    <row r="184" ht="15.75" customHeight="1" s="101"/>
    <row r="185" ht="15.75" customHeight="1" s="101"/>
    <row r="186" ht="15.75" customHeight="1" s="101"/>
    <row r="187" ht="15.75" customHeight="1" s="101"/>
    <row r="188" ht="15.75" customHeight="1" s="101"/>
    <row r="189" ht="15.75" customHeight="1" s="101"/>
    <row r="190" ht="15.75" customHeight="1" s="101"/>
    <row r="191" ht="15.75" customHeight="1" s="101"/>
    <row r="192" ht="15.75" customHeight="1" s="101"/>
    <row r="193" ht="15.75" customHeight="1" s="101"/>
    <row r="194" ht="15.75" customHeight="1" s="101"/>
    <row r="195" ht="15.75" customHeight="1" s="101"/>
    <row r="196" ht="15.75" customHeight="1" s="101"/>
    <row r="197" ht="15.75" customHeight="1" s="101"/>
    <row r="198" ht="15.75" customHeight="1" s="101"/>
    <row r="199" ht="15.75" customHeight="1" s="101"/>
    <row r="200" ht="15.75" customHeight="1" s="101"/>
    <row r="201" ht="15.75" customHeight="1" s="101"/>
    <row r="202" ht="15.75" customHeight="1" s="101"/>
    <row r="203" ht="15.75" customHeight="1" s="101"/>
    <row r="204" ht="15.75" customHeight="1" s="101"/>
    <row r="205" ht="15.75" customHeight="1" s="101"/>
    <row r="206" ht="15.75" customHeight="1" s="101"/>
    <row r="207" ht="15.75" customHeight="1" s="101"/>
    <row r="208" ht="15.75" customHeight="1" s="101"/>
    <row r="209" ht="15.75" customHeight="1" s="101"/>
    <row r="210" ht="15.75" customHeight="1" s="101"/>
    <row r="211" ht="15.75" customHeight="1" s="101"/>
    <row r="212" ht="15.75" customHeight="1" s="101"/>
    <row r="213" ht="15.75" customHeight="1" s="101"/>
    <row r="214" ht="15.75" customHeight="1" s="101"/>
    <row r="215" ht="15.75" customHeight="1" s="101"/>
    <row r="216" ht="15.75" customHeight="1" s="101"/>
    <row r="217" ht="15.75" customHeight="1" s="101"/>
    <row r="218" ht="15.75" customHeight="1" s="101"/>
    <row r="219" ht="15.75" customHeight="1" s="101"/>
    <row r="220" ht="15.75" customHeight="1" s="101"/>
    <row r="221" ht="15.75" customHeight="1" s="101"/>
    <row r="222" ht="15.75" customHeight="1" s="101"/>
    <row r="223" ht="15.75" customHeight="1" s="101"/>
    <row r="224" ht="15.75" customHeight="1" s="101"/>
    <row r="225" ht="15.75" customHeight="1" s="101"/>
    <row r="226" ht="15.75" customHeight="1" s="101"/>
    <row r="227" ht="15.75" customHeight="1" s="101"/>
    <row r="228" ht="15.75" customHeight="1" s="101"/>
    <row r="229" ht="15.75" customHeight="1" s="101"/>
    <row r="230" ht="15.75" customHeight="1" s="101"/>
    <row r="231" ht="15.75" customHeight="1" s="101"/>
    <row r="232" ht="15.75" customHeight="1" s="101"/>
    <row r="233" ht="15.75" customHeight="1" s="101"/>
    <row r="234" ht="15.75" customHeight="1" s="101"/>
    <row r="235" ht="15.75" customHeight="1" s="101"/>
    <row r="236" ht="15.75" customHeight="1" s="101"/>
    <row r="237" ht="15.75" customHeight="1" s="101"/>
    <row r="238" ht="15.75" customHeight="1" s="101"/>
    <row r="239" ht="15.75" customHeight="1" s="101"/>
    <row r="240" ht="15.75" customHeight="1" s="101"/>
    <row r="241" ht="15.75" customHeight="1" s="101"/>
    <row r="242" ht="15.75" customHeight="1" s="101"/>
    <row r="243" ht="15.75" customHeight="1" s="101"/>
    <row r="244" ht="15.75" customHeight="1" s="101"/>
    <row r="245" ht="15.75" customHeight="1" s="101"/>
    <row r="246" ht="15.75" customHeight="1" s="101"/>
    <row r="247" ht="15.75" customHeight="1" s="101"/>
    <row r="248" ht="15.75" customHeight="1" s="101"/>
    <row r="249" ht="15.75" customHeight="1" s="101"/>
    <row r="250" ht="15.75" customHeight="1" s="101"/>
    <row r="251" ht="15.75" customHeight="1" s="101"/>
    <row r="252" ht="15.75" customHeight="1" s="101"/>
    <row r="253" ht="15.75" customHeight="1" s="101"/>
    <row r="254" ht="15.75" customHeight="1" s="101"/>
    <row r="255" ht="15.75" customHeight="1" s="101"/>
    <row r="256" ht="15.75" customHeight="1" s="101"/>
    <row r="257" ht="15.75" customHeight="1" s="101"/>
    <row r="258" ht="15.75" customHeight="1" s="101"/>
    <row r="259" ht="15.75" customHeight="1" s="101"/>
    <row r="260" ht="15.75" customHeight="1" s="101"/>
    <row r="261" ht="15.75" customHeight="1" s="101"/>
    <row r="262" ht="15.75" customHeight="1" s="101"/>
    <row r="263" ht="15.75" customHeight="1" s="101"/>
    <row r="264" ht="15.75" customHeight="1" s="101"/>
    <row r="265" ht="15.75" customHeight="1" s="101"/>
    <row r="266" ht="15.75" customHeight="1" s="101"/>
    <row r="267" ht="15.75" customHeight="1" s="101"/>
    <row r="268" ht="15.75" customHeight="1" s="101"/>
    <row r="269" ht="15.75" customHeight="1" s="101"/>
    <row r="270" ht="15.75" customHeight="1" s="101"/>
    <row r="271" ht="15.75" customHeight="1" s="101"/>
    <row r="272" ht="15.75" customHeight="1" s="101"/>
    <row r="273" ht="15.75" customHeight="1" s="101"/>
    <row r="274" ht="15.75" customHeight="1" s="101"/>
    <row r="275" ht="15.75" customHeight="1" s="101"/>
    <row r="276" ht="15.75" customHeight="1" s="101"/>
    <row r="277" ht="15.75" customHeight="1" s="101"/>
    <row r="278" ht="15.75" customHeight="1" s="101"/>
    <row r="279" ht="15.75" customHeight="1" s="101"/>
    <row r="280" ht="15.75" customHeight="1" s="101"/>
    <row r="281" ht="15.75" customHeight="1" s="101"/>
    <row r="282" ht="15.75" customHeight="1" s="101"/>
    <row r="283" ht="15.75" customHeight="1" s="101"/>
    <row r="284" ht="15.75" customHeight="1" s="101"/>
    <row r="285" ht="15.75" customHeight="1" s="101"/>
    <row r="286" ht="15.75" customHeight="1" s="101"/>
    <row r="287" ht="15.75" customHeight="1" s="101"/>
    <row r="288" ht="15.75" customHeight="1" s="101"/>
    <row r="289" ht="15.75" customHeight="1" s="101"/>
    <row r="290" ht="15.75" customHeight="1" s="101"/>
    <row r="291" ht="15.75" customHeight="1" s="101"/>
    <row r="292" ht="15.75" customHeight="1" s="101"/>
    <row r="293" ht="15.75" customHeight="1" s="101"/>
    <row r="294" ht="15.75" customHeight="1" s="101"/>
    <row r="295" ht="15.75" customHeight="1" s="101"/>
    <row r="296" ht="15.75" customHeight="1" s="101"/>
    <row r="297" ht="15.75" customHeight="1" s="101"/>
    <row r="298" ht="15.75" customHeight="1" s="101"/>
    <row r="299" ht="15.75" customHeight="1" s="101"/>
    <row r="300" ht="15.75" customHeight="1" s="101"/>
    <row r="301" ht="15.75" customHeight="1" s="101"/>
    <row r="302" ht="15.75" customHeight="1" s="101"/>
    <row r="303" ht="15.75" customHeight="1" s="101"/>
    <row r="304" ht="15.75" customHeight="1" s="101"/>
    <row r="305" ht="15.75" customHeight="1" s="101"/>
    <row r="306" ht="15.75" customHeight="1" s="101"/>
    <row r="307" ht="15.75" customHeight="1" s="101"/>
    <row r="308" ht="15.75" customHeight="1" s="101"/>
    <row r="309" ht="15.75" customHeight="1" s="101"/>
    <row r="310" ht="15.75" customHeight="1" s="101"/>
    <row r="311" ht="15.75" customHeight="1" s="101"/>
    <row r="312" ht="15.75" customHeight="1" s="101"/>
    <row r="313" ht="15.75" customHeight="1" s="101"/>
    <row r="314" ht="15.75" customHeight="1" s="101"/>
    <row r="315" ht="15.75" customHeight="1" s="101"/>
    <row r="316" ht="15.75" customHeight="1" s="101"/>
    <row r="317" ht="15.75" customHeight="1" s="101"/>
    <row r="318" ht="15.75" customHeight="1" s="101"/>
    <row r="319" ht="15.75" customHeight="1" s="101"/>
    <row r="320" ht="15.75" customHeight="1" s="101"/>
    <row r="321" ht="15.75" customHeight="1" s="101"/>
    <row r="322" ht="15.75" customHeight="1" s="101"/>
    <row r="323" ht="15.75" customHeight="1" s="101"/>
    <row r="324" ht="15.75" customHeight="1" s="101"/>
    <row r="325" ht="15.75" customHeight="1" s="101"/>
    <row r="326" ht="15.75" customHeight="1" s="101"/>
    <row r="327" ht="15.75" customHeight="1" s="101"/>
    <row r="328" ht="15.75" customHeight="1" s="101"/>
    <row r="329" ht="15.75" customHeight="1" s="101"/>
    <row r="330" ht="15.75" customHeight="1" s="101"/>
    <row r="331" ht="15.75" customHeight="1" s="101"/>
    <row r="332" ht="15.75" customHeight="1" s="101"/>
    <row r="333" ht="15.75" customHeight="1" s="101"/>
    <row r="334" ht="15.75" customHeight="1" s="101"/>
    <row r="335" ht="15.75" customHeight="1" s="101"/>
    <row r="336" ht="15.75" customHeight="1" s="101"/>
    <row r="337" ht="15.75" customHeight="1" s="101"/>
    <row r="338" ht="15.75" customHeight="1" s="101"/>
    <row r="339" ht="15.75" customHeight="1" s="101"/>
    <row r="340" ht="15.75" customHeight="1" s="101"/>
    <row r="341" ht="15.75" customHeight="1" s="101"/>
    <row r="342" ht="15.75" customHeight="1" s="101"/>
    <row r="343" ht="15.75" customHeight="1" s="101"/>
    <row r="344" ht="15.75" customHeight="1" s="101"/>
    <row r="345" ht="15.75" customHeight="1" s="101"/>
    <row r="346" ht="15.75" customHeight="1" s="101"/>
    <row r="347" ht="15.75" customHeight="1" s="101"/>
    <row r="348" ht="15.75" customHeight="1" s="101"/>
    <row r="349" ht="15.75" customHeight="1" s="101"/>
    <row r="350" ht="15.75" customHeight="1" s="101"/>
    <row r="351" ht="15.75" customHeight="1" s="101"/>
    <row r="352" ht="15.75" customHeight="1" s="101"/>
    <row r="353" ht="15.75" customHeight="1" s="101"/>
    <row r="354" ht="15.75" customHeight="1" s="101"/>
    <row r="355" ht="15.75" customHeight="1" s="101"/>
    <row r="356" ht="15.75" customHeight="1" s="101"/>
    <row r="357" ht="15.75" customHeight="1" s="101"/>
    <row r="358" ht="15.75" customHeight="1" s="101"/>
    <row r="359" ht="15.75" customHeight="1" s="101"/>
    <row r="360" ht="15.75" customHeight="1" s="101"/>
    <row r="361" ht="15.75" customHeight="1" s="101"/>
    <row r="362" ht="15.75" customHeight="1" s="101"/>
    <row r="363" ht="15.75" customHeight="1" s="101"/>
    <row r="364" ht="15.75" customHeight="1" s="101"/>
    <row r="365" ht="15.75" customHeight="1" s="101"/>
    <row r="366" ht="15.75" customHeight="1" s="101"/>
    <row r="367" ht="15.75" customHeight="1" s="101"/>
    <row r="368" ht="15.75" customHeight="1" s="101"/>
    <row r="369" ht="15.75" customHeight="1" s="101"/>
    <row r="370" ht="15.75" customHeight="1" s="101"/>
    <row r="371" ht="15.75" customHeight="1" s="101"/>
    <row r="372" ht="15.75" customHeight="1" s="101"/>
    <row r="373" ht="15.75" customHeight="1" s="101"/>
    <row r="374" ht="15.75" customHeight="1" s="101"/>
    <row r="375" ht="15.75" customHeight="1" s="101"/>
    <row r="376" ht="15.75" customHeight="1" s="101"/>
    <row r="377" ht="15.75" customHeight="1" s="101"/>
    <row r="378" ht="15.75" customHeight="1" s="101"/>
    <row r="379" ht="15.75" customHeight="1" s="101"/>
    <row r="380" ht="15.75" customHeight="1" s="101"/>
    <row r="381" ht="15.75" customHeight="1" s="101"/>
    <row r="382" ht="15.75" customHeight="1" s="101"/>
    <row r="383" ht="15.75" customHeight="1" s="101"/>
    <row r="384" ht="15.75" customHeight="1" s="101"/>
    <row r="385" ht="15.75" customHeight="1" s="101"/>
    <row r="386" ht="15.75" customHeight="1" s="101"/>
    <row r="387" ht="15.75" customHeight="1" s="101"/>
    <row r="388" ht="15.75" customHeight="1" s="101"/>
    <row r="389" ht="15.75" customHeight="1" s="101"/>
    <row r="390" ht="15.75" customHeight="1" s="101"/>
    <row r="391" ht="15.75" customHeight="1" s="101"/>
    <row r="392" ht="15.75" customHeight="1" s="101"/>
    <row r="393" ht="15.75" customHeight="1" s="101"/>
    <row r="394" ht="15.75" customHeight="1" s="101"/>
    <row r="395" ht="15.75" customHeight="1" s="101"/>
    <row r="396" ht="15.75" customHeight="1" s="101"/>
    <row r="397" ht="15.75" customHeight="1" s="101"/>
    <row r="398" ht="15.75" customHeight="1" s="101"/>
    <row r="399" ht="15.75" customHeight="1" s="101"/>
    <row r="400" ht="15.75" customHeight="1" s="101"/>
    <row r="401" ht="15.75" customHeight="1" s="101"/>
    <row r="402" ht="15.75" customHeight="1" s="101"/>
    <row r="403" ht="15.75" customHeight="1" s="101"/>
    <row r="404" ht="15.75" customHeight="1" s="101"/>
    <row r="405" ht="15.75" customHeight="1" s="101"/>
    <row r="406" ht="15.75" customHeight="1" s="101"/>
    <row r="407" ht="15.75" customHeight="1" s="101"/>
    <row r="408" ht="15.75" customHeight="1" s="101"/>
    <row r="409" ht="15.75" customHeight="1" s="101"/>
    <row r="410" ht="15.75" customHeight="1" s="101"/>
    <row r="411" ht="15.75" customHeight="1" s="101"/>
    <row r="412" ht="15.75" customHeight="1" s="101"/>
    <row r="413" ht="15.75" customHeight="1" s="101"/>
    <row r="414" ht="15.75" customHeight="1" s="101"/>
    <row r="415" ht="15.75" customHeight="1" s="101"/>
    <row r="416" ht="15.75" customHeight="1" s="101"/>
    <row r="417" ht="15.75" customHeight="1" s="101"/>
    <row r="418" ht="15.75" customHeight="1" s="101"/>
    <row r="419" ht="15.75" customHeight="1" s="101"/>
    <row r="420" ht="15.75" customHeight="1" s="101"/>
    <row r="421" ht="15.75" customHeight="1" s="101"/>
    <row r="422" ht="15.75" customHeight="1" s="101"/>
    <row r="423" ht="15.75" customHeight="1" s="101"/>
    <row r="424" ht="15.75" customHeight="1" s="101"/>
    <row r="425" ht="15.75" customHeight="1" s="101"/>
    <row r="426" ht="15.75" customHeight="1" s="101"/>
    <row r="427" ht="15.75" customHeight="1" s="101"/>
    <row r="428" ht="15.75" customHeight="1" s="101"/>
    <row r="429" ht="15.75" customHeight="1" s="101"/>
    <row r="430" ht="15.75" customHeight="1" s="101"/>
    <row r="431" ht="15.75" customHeight="1" s="101"/>
    <row r="432" ht="15.75" customHeight="1" s="101"/>
    <row r="433" ht="15.75" customHeight="1" s="101"/>
    <row r="434" ht="15.75" customHeight="1" s="101"/>
    <row r="435" ht="15.75" customHeight="1" s="101"/>
    <row r="436" ht="15.75" customHeight="1" s="101"/>
    <row r="437" ht="15.75" customHeight="1" s="101"/>
    <row r="438" ht="15.75" customHeight="1" s="101"/>
    <row r="439" ht="15.75" customHeight="1" s="101"/>
    <row r="440" ht="15.75" customHeight="1" s="101"/>
    <row r="441" ht="15.75" customHeight="1" s="101"/>
    <row r="442" ht="15.75" customHeight="1" s="101"/>
    <row r="443" ht="15.75" customHeight="1" s="101"/>
    <row r="444" ht="15.75" customHeight="1" s="101"/>
    <row r="445" ht="15.75" customHeight="1" s="101"/>
    <row r="446" ht="15.75" customHeight="1" s="101"/>
    <row r="447" ht="15.75" customHeight="1" s="101"/>
    <row r="448" ht="15.75" customHeight="1" s="101"/>
    <row r="449" ht="15.75" customHeight="1" s="101"/>
    <row r="450" ht="15.75" customHeight="1" s="101"/>
    <row r="451" ht="15.75" customHeight="1" s="101"/>
    <row r="452" ht="15.75" customHeight="1" s="101"/>
    <row r="453" ht="15.75" customHeight="1" s="101"/>
    <row r="454" ht="15.75" customHeight="1" s="101"/>
    <row r="455" ht="15.75" customHeight="1" s="101"/>
    <row r="456" ht="15.75" customHeight="1" s="101"/>
    <row r="457" ht="15.75" customHeight="1" s="101"/>
    <row r="458" ht="15.75" customHeight="1" s="101"/>
    <row r="459" ht="15.75" customHeight="1" s="101"/>
    <row r="460" ht="15.75" customHeight="1" s="101"/>
    <row r="461" ht="15.75" customHeight="1" s="101"/>
    <row r="462" ht="15.75" customHeight="1" s="101"/>
    <row r="463" ht="15.75" customHeight="1" s="101"/>
    <row r="464" ht="15.75" customHeight="1" s="101"/>
    <row r="465" ht="15.75" customHeight="1" s="101"/>
    <row r="466" ht="15.75" customHeight="1" s="101"/>
    <row r="467" ht="15.75" customHeight="1" s="101"/>
    <row r="468" ht="15.75" customHeight="1" s="101"/>
    <row r="469" ht="15.75" customHeight="1" s="101"/>
    <row r="470" ht="15.75" customHeight="1" s="101"/>
    <row r="471" ht="15.75" customHeight="1" s="101"/>
    <row r="472" ht="15.75" customHeight="1" s="101"/>
    <row r="473" ht="15.75" customHeight="1" s="101"/>
    <row r="474" ht="15.75" customHeight="1" s="101"/>
    <row r="475" ht="15.75" customHeight="1" s="101"/>
    <row r="476" ht="15.75" customHeight="1" s="101"/>
    <row r="477" ht="15.75" customHeight="1" s="101"/>
    <row r="478" ht="15.75" customHeight="1" s="101"/>
    <row r="479" ht="15.75" customHeight="1" s="101"/>
    <row r="480" ht="15.75" customHeight="1" s="101"/>
    <row r="481" ht="15.75" customHeight="1" s="101"/>
    <row r="482" ht="15.75" customHeight="1" s="101"/>
    <row r="483" ht="15.75" customHeight="1" s="101"/>
    <row r="484" ht="15.75" customHeight="1" s="101"/>
    <row r="485" ht="15.75" customHeight="1" s="101"/>
    <row r="486" ht="15.75" customHeight="1" s="101"/>
    <row r="487" ht="15.75" customHeight="1" s="101"/>
    <row r="488" ht="15.75" customHeight="1" s="101"/>
    <row r="489" ht="15.75" customHeight="1" s="101"/>
    <row r="490" ht="15.75" customHeight="1" s="101"/>
    <row r="491" ht="15.75" customHeight="1" s="101"/>
    <row r="492" ht="15.75" customHeight="1" s="101"/>
    <row r="493" ht="15.75" customHeight="1" s="101"/>
    <row r="494" ht="15.75" customHeight="1" s="101"/>
    <row r="495" ht="15.75" customHeight="1" s="101"/>
    <row r="496" ht="15.75" customHeight="1" s="101"/>
    <row r="497" ht="15.75" customHeight="1" s="101"/>
    <row r="498" ht="15.75" customHeight="1" s="101"/>
    <row r="499" ht="15.75" customHeight="1" s="101"/>
    <row r="500" ht="15.75" customHeight="1" s="101"/>
    <row r="501" ht="15.75" customHeight="1" s="101"/>
    <row r="502" ht="15.75" customHeight="1" s="101"/>
    <row r="503" ht="15.75" customHeight="1" s="101"/>
    <row r="504" ht="15.75" customHeight="1" s="101"/>
    <row r="505" ht="15.75" customHeight="1" s="101"/>
    <row r="506" ht="15.75" customHeight="1" s="101"/>
    <row r="507" ht="15.75" customHeight="1" s="101"/>
    <row r="508" ht="15.75" customHeight="1" s="101"/>
    <row r="509" ht="15.75" customHeight="1" s="101"/>
    <row r="510" ht="15.75" customHeight="1" s="101"/>
    <row r="511" ht="15.75" customHeight="1" s="101"/>
    <row r="512" ht="15.75" customHeight="1" s="101"/>
    <row r="513" ht="15.75" customHeight="1" s="101"/>
    <row r="514" ht="15.75" customHeight="1" s="101"/>
    <row r="515" ht="15.75" customHeight="1" s="101"/>
    <row r="516" ht="15.75" customHeight="1" s="101"/>
    <row r="517" ht="15.75" customHeight="1" s="101"/>
    <row r="518" ht="15.75" customHeight="1" s="101"/>
    <row r="519" ht="15.75" customHeight="1" s="101"/>
    <row r="520" ht="15.75" customHeight="1" s="101"/>
    <row r="521" ht="15.75" customHeight="1" s="101"/>
    <row r="522" ht="15.75" customHeight="1" s="101"/>
    <row r="523" ht="15.75" customHeight="1" s="101"/>
    <row r="524" ht="15.75" customHeight="1" s="101"/>
    <row r="525" ht="15.75" customHeight="1" s="101"/>
    <row r="526" ht="15.75" customHeight="1" s="101"/>
    <row r="527" ht="15.75" customHeight="1" s="101"/>
    <row r="528" ht="15.75" customHeight="1" s="101"/>
    <row r="529" ht="15.75" customHeight="1" s="101"/>
    <row r="530" ht="15.75" customHeight="1" s="101"/>
    <row r="531" ht="15.75" customHeight="1" s="101"/>
    <row r="532" ht="15.75" customHeight="1" s="101"/>
    <row r="533" ht="15.75" customHeight="1" s="101"/>
    <row r="534" ht="15.75" customHeight="1" s="101"/>
    <row r="535" ht="15.75" customHeight="1" s="101"/>
    <row r="536" ht="15.75" customHeight="1" s="101"/>
    <row r="537" ht="15.75" customHeight="1" s="101"/>
    <row r="538" ht="15.75" customHeight="1" s="101"/>
    <row r="539" ht="15.75" customHeight="1" s="101"/>
    <row r="540" ht="15.75" customHeight="1" s="101"/>
    <row r="541" ht="15.75" customHeight="1" s="101"/>
    <row r="542" ht="15.75" customHeight="1" s="101"/>
    <row r="543" ht="15.75" customHeight="1" s="101"/>
    <row r="544" ht="15.75" customHeight="1" s="101"/>
    <row r="545" ht="15.75" customHeight="1" s="101"/>
    <row r="546" ht="15.75" customHeight="1" s="101"/>
    <row r="547" ht="15.75" customHeight="1" s="101"/>
    <row r="548" ht="15.75" customHeight="1" s="101"/>
    <row r="549" ht="15.75" customHeight="1" s="101"/>
    <row r="550" ht="15.75" customHeight="1" s="101"/>
    <row r="551" ht="15.75" customHeight="1" s="101"/>
    <row r="552" ht="15.75" customHeight="1" s="101"/>
    <row r="553" ht="15.75" customHeight="1" s="101"/>
    <row r="554" ht="15.75" customHeight="1" s="101"/>
    <row r="555" ht="15.75" customHeight="1" s="101"/>
    <row r="556" ht="15.75" customHeight="1" s="101"/>
    <row r="557" ht="15.75" customHeight="1" s="101"/>
    <row r="558" ht="15.75" customHeight="1" s="101"/>
    <row r="559" ht="15.75" customHeight="1" s="101"/>
    <row r="560" ht="15.75" customHeight="1" s="101"/>
    <row r="561" ht="15.75" customHeight="1" s="101"/>
    <row r="562" ht="15.75" customHeight="1" s="101"/>
    <row r="563" ht="15.75" customHeight="1" s="101"/>
    <row r="564" ht="15.75" customHeight="1" s="101"/>
    <row r="565" ht="15.75" customHeight="1" s="101"/>
    <row r="566" ht="15.75" customHeight="1" s="101"/>
    <row r="567" ht="15.75" customHeight="1" s="101"/>
    <row r="568" ht="15.75" customHeight="1" s="101"/>
    <row r="569" ht="15.75" customHeight="1" s="101"/>
    <row r="570" ht="15.75" customHeight="1" s="101"/>
    <row r="571" ht="15.75" customHeight="1" s="101"/>
    <row r="572" ht="15.75" customHeight="1" s="101"/>
    <row r="573" ht="15.75" customHeight="1" s="101"/>
    <row r="574" ht="15.75" customHeight="1" s="101"/>
    <row r="575" ht="15.75" customHeight="1" s="101"/>
    <row r="576" ht="15.75" customHeight="1" s="101"/>
    <row r="577" ht="15.75" customHeight="1" s="101"/>
    <row r="578" ht="15.75" customHeight="1" s="101"/>
    <row r="579" ht="15.75" customHeight="1" s="101"/>
    <row r="580" ht="15.75" customHeight="1" s="101"/>
    <row r="581" ht="15.75" customHeight="1" s="101"/>
    <row r="582" ht="15.75" customHeight="1" s="101"/>
    <row r="583" ht="15.75" customHeight="1" s="101"/>
    <row r="584" ht="15.75" customHeight="1" s="101"/>
    <row r="585" ht="15.75" customHeight="1" s="101"/>
    <row r="586" ht="15.75" customHeight="1" s="101"/>
    <row r="587" ht="15.75" customHeight="1" s="101"/>
    <row r="588" ht="15.75" customHeight="1" s="101"/>
    <row r="589" ht="15.75" customHeight="1" s="101"/>
    <row r="590" ht="15.75" customHeight="1" s="101"/>
    <row r="591" ht="15.75" customHeight="1" s="101"/>
    <row r="592" ht="15.75" customHeight="1" s="101"/>
    <row r="593" ht="15.75" customHeight="1" s="101"/>
    <row r="594" ht="15.75" customHeight="1" s="101"/>
    <row r="595" ht="15.75" customHeight="1" s="101"/>
    <row r="596" ht="15.75" customHeight="1" s="101"/>
    <row r="597" ht="15.75" customHeight="1" s="101"/>
    <row r="598" ht="15.75" customHeight="1" s="101"/>
    <row r="599" ht="15.75" customHeight="1" s="101"/>
    <row r="600" ht="15.75" customHeight="1" s="101"/>
    <row r="601" ht="15.75" customHeight="1" s="101"/>
    <row r="602" ht="15.75" customHeight="1" s="101"/>
    <row r="603" ht="15.75" customHeight="1" s="101"/>
    <row r="604" ht="15.75" customHeight="1" s="101"/>
    <row r="605" ht="15.75" customHeight="1" s="101"/>
    <row r="606" ht="15.75" customHeight="1" s="101"/>
    <row r="607" ht="15.75" customHeight="1" s="101"/>
    <row r="608" ht="15.75" customHeight="1" s="101"/>
    <row r="609" ht="15.75" customHeight="1" s="101"/>
    <row r="610" ht="15.75" customHeight="1" s="101"/>
    <row r="611" ht="15.75" customHeight="1" s="101"/>
    <row r="612" ht="15.75" customHeight="1" s="101"/>
    <row r="613" ht="15.75" customHeight="1" s="101"/>
    <row r="614" ht="15.75" customHeight="1" s="101"/>
    <row r="615" ht="15.75" customHeight="1" s="101"/>
    <row r="616" ht="15.75" customHeight="1" s="101"/>
    <row r="617" ht="15.75" customHeight="1" s="101"/>
    <row r="618" ht="15.75" customHeight="1" s="101"/>
    <row r="619" ht="15.75" customHeight="1" s="101"/>
    <row r="620" ht="15.75" customHeight="1" s="101"/>
    <row r="621" ht="15.75" customHeight="1" s="101"/>
    <row r="622" ht="15.75" customHeight="1" s="101"/>
    <row r="623" ht="15.75" customHeight="1" s="101"/>
    <row r="624" ht="15.75" customHeight="1" s="101"/>
    <row r="625" ht="15.75" customHeight="1" s="101"/>
    <row r="626" ht="15.75" customHeight="1" s="101"/>
    <row r="627" ht="15.75" customHeight="1" s="101"/>
    <row r="628" ht="15.75" customHeight="1" s="101"/>
    <row r="629" ht="15.75" customHeight="1" s="101"/>
    <row r="630" ht="15.75" customHeight="1" s="101"/>
    <row r="631" ht="15.75" customHeight="1" s="101"/>
    <row r="632" ht="15.75" customHeight="1" s="101"/>
    <row r="633" ht="15.75" customHeight="1" s="101"/>
    <row r="634" ht="15.75" customHeight="1" s="101"/>
    <row r="635" ht="15.75" customHeight="1" s="101"/>
    <row r="636" ht="15.75" customHeight="1" s="101"/>
    <row r="637" ht="15.75" customHeight="1" s="101"/>
    <row r="638" ht="15.75" customHeight="1" s="101"/>
    <row r="639" ht="15.75" customHeight="1" s="101"/>
    <row r="640" ht="15.75" customHeight="1" s="101"/>
    <row r="641" ht="15.75" customHeight="1" s="101"/>
    <row r="642" ht="15.75" customHeight="1" s="101"/>
    <row r="643" ht="15.75" customHeight="1" s="101"/>
    <row r="644" ht="15.75" customHeight="1" s="101"/>
    <row r="645" ht="15.75" customHeight="1" s="101"/>
    <row r="646" ht="15.75" customHeight="1" s="101"/>
    <row r="647" ht="15.75" customHeight="1" s="101"/>
    <row r="648" ht="15.75" customHeight="1" s="101"/>
    <row r="649" ht="15.75" customHeight="1" s="101"/>
    <row r="650" ht="15.75" customHeight="1" s="101"/>
    <row r="651" ht="15.75" customHeight="1" s="101"/>
    <row r="652" ht="15.75" customHeight="1" s="101"/>
    <row r="653" ht="15.75" customHeight="1" s="101"/>
    <row r="654" ht="15.75" customHeight="1" s="101"/>
    <row r="655" ht="15.75" customHeight="1" s="101"/>
    <row r="656" ht="15.75" customHeight="1" s="101"/>
    <row r="657" ht="15.75" customHeight="1" s="101"/>
    <row r="658" ht="15.75" customHeight="1" s="101"/>
    <row r="659" ht="15.75" customHeight="1" s="101"/>
    <row r="660" ht="15.75" customHeight="1" s="101"/>
    <row r="661" ht="15.75" customHeight="1" s="101"/>
    <row r="662" ht="15.75" customHeight="1" s="101"/>
    <row r="663" ht="15.75" customHeight="1" s="101"/>
    <row r="664" ht="15.75" customHeight="1" s="101"/>
    <row r="665" ht="15.75" customHeight="1" s="101"/>
    <row r="666" ht="15.75" customHeight="1" s="101"/>
    <row r="667" ht="15.75" customHeight="1" s="101"/>
    <row r="668" ht="15.75" customHeight="1" s="101"/>
    <row r="669" ht="15.75" customHeight="1" s="101"/>
    <row r="670" ht="15.75" customHeight="1" s="101"/>
    <row r="671" ht="15.75" customHeight="1" s="101"/>
    <row r="672" ht="15.75" customHeight="1" s="101"/>
    <row r="673" ht="15.75" customHeight="1" s="101"/>
    <row r="674" ht="15.75" customHeight="1" s="101"/>
    <row r="675" ht="15.75" customHeight="1" s="101"/>
    <row r="676" ht="15.75" customHeight="1" s="101"/>
    <row r="677" ht="15.75" customHeight="1" s="101"/>
    <row r="678" ht="15.75" customHeight="1" s="101"/>
    <row r="679" ht="15.75" customHeight="1" s="101"/>
    <row r="680" ht="15.75" customHeight="1" s="101"/>
    <row r="681" ht="15.75" customHeight="1" s="101"/>
    <row r="682" ht="15.75" customHeight="1" s="101"/>
    <row r="683" ht="15.75" customHeight="1" s="101"/>
    <row r="684" ht="15.75" customHeight="1" s="101"/>
    <row r="685" ht="15.75" customHeight="1" s="101"/>
    <row r="686" ht="15.75" customHeight="1" s="101"/>
    <row r="687" ht="15.75" customHeight="1" s="101"/>
    <row r="688" ht="15.75" customHeight="1" s="101"/>
    <row r="689" ht="15.75" customHeight="1" s="101"/>
    <row r="690" ht="15.75" customHeight="1" s="101"/>
    <row r="691" ht="15.75" customHeight="1" s="101"/>
    <row r="692" ht="15.75" customHeight="1" s="101"/>
    <row r="693" ht="15.75" customHeight="1" s="101"/>
    <row r="694" ht="15.75" customHeight="1" s="101"/>
    <row r="695" ht="15.75" customHeight="1" s="101"/>
    <row r="696" ht="15.75" customHeight="1" s="101"/>
    <row r="697" ht="15.75" customHeight="1" s="101"/>
    <row r="698" ht="15.75" customHeight="1" s="101"/>
    <row r="699" ht="15.75" customHeight="1" s="101"/>
    <row r="700" ht="15.75" customHeight="1" s="101"/>
    <row r="701" ht="15.75" customHeight="1" s="101"/>
    <row r="702" ht="15.75" customHeight="1" s="101"/>
    <row r="703" ht="15.75" customHeight="1" s="101"/>
    <row r="704" ht="15.75" customHeight="1" s="101"/>
    <row r="705" ht="15.75" customHeight="1" s="101"/>
    <row r="706" ht="15.75" customHeight="1" s="101"/>
    <row r="707" ht="15.75" customHeight="1" s="101"/>
    <row r="708" ht="15.75" customHeight="1" s="101"/>
    <row r="709" ht="15.75" customHeight="1" s="101"/>
    <row r="710" ht="15.75" customHeight="1" s="101"/>
    <row r="711" ht="15.75" customHeight="1" s="101"/>
    <row r="712" ht="15.75" customHeight="1" s="101"/>
    <row r="713" ht="15.75" customHeight="1" s="101"/>
    <row r="714" ht="15.75" customHeight="1" s="101"/>
    <row r="715" ht="15.75" customHeight="1" s="101"/>
    <row r="716" ht="15.75" customHeight="1" s="101"/>
    <row r="717" ht="15.75" customHeight="1" s="101"/>
    <row r="718" ht="15.75" customHeight="1" s="101"/>
    <row r="719" ht="15.75" customHeight="1" s="101"/>
    <row r="720" ht="15.75" customHeight="1" s="101"/>
    <row r="721" ht="15.75" customHeight="1" s="101"/>
    <row r="722" ht="15.75" customHeight="1" s="101"/>
    <row r="723" ht="15.75" customHeight="1" s="101"/>
    <row r="724" ht="15.75" customHeight="1" s="101"/>
    <row r="725" ht="15.75" customHeight="1" s="101"/>
    <row r="726" ht="15.75" customHeight="1" s="101"/>
    <row r="727" ht="15.75" customHeight="1" s="101"/>
    <row r="728" ht="15.75" customHeight="1" s="101"/>
    <row r="729" ht="15.75" customHeight="1" s="101"/>
    <row r="730" ht="15.75" customHeight="1" s="101"/>
    <row r="731" ht="15.75" customHeight="1" s="101"/>
    <row r="732" ht="15.75" customHeight="1" s="101"/>
    <row r="733" ht="15.75" customHeight="1" s="101"/>
    <row r="734" ht="15.75" customHeight="1" s="101"/>
    <row r="735" ht="15.75" customHeight="1" s="101"/>
    <row r="736" ht="15.75" customHeight="1" s="101"/>
    <row r="737" ht="15.75" customHeight="1" s="101"/>
    <row r="738" ht="15.75" customHeight="1" s="101"/>
    <row r="739" ht="15.75" customHeight="1" s="101"/>
    <row r="740" ht="15.75" customHeight="1" s="101"/>
    <row r="741" ht="15.75" customHeight="1" s="101"/>
    <row r="742" ht="15.75" customHeight="1" s="101"/>
    <row r="743" ht="15.75" customHeight="1" s="101"/>
    <row r="744" ht="15.75" customHeight="1" s="101"/>
    <row r="745" ht="15.75" customHeight="1" s="101"/>
    <row r="746" ht="15.75" customHeight="1" s="101"/>
    <row r="747" ht="15.75" customHeight="1" s="101"/>
    <row r="748" ht="15.75" customHeight="1" s="101"/>
    <row r="749" ht="15.75" customHeight="1" s="101"/>
    <row r="750" ht="15.75" customHeight="1" s="101"/>
    <row r="751" ht="15.75" customHeight="1" s="101"/>
    <row r="752" ht="15.75" customHeight="1" s="101"/>
    <row r="753" ht="15.75" customHeight="1" s="101"/>
    <row r="754" ht="15.75" customHeight="1" s="101"/>
    <row r="755" ht="15.75" customHeight="1" s="101"/>
    <row r="756" ht="15.75" customHeight="1" s="101"/>
    <row r="757" ht="15.75" customHeight="1" s="101"/>
    <row r="758" ht="15.75" customHeight="1" s="101"/>
    <row r="759" ht="15.75" customHeight="1" s="101"/>
    <row r="760" ht="15.75" customHeight="1" s="101"/>
    <row r="761" ht="15.75" customHeight="1" s="101"/>
    <row r="762" ht="15.75" customHeight="1" s="101"/>
    <row r="763" ht="15.75" customHeight="1" s="101"/>
    <row r="764" ht="15.75" customHeight="1" s="101"/>
    <row r="765" ht="15.75" customHeight="1" s="101"/>
    <row r="766" ht="15.75" customHeight="1" s="101"/>
    <row r="767" ht="15.75" customHeight="1" s="101"/>
    <row r="768" ht="15.75" customHeight="1" s="101"/>
    <row r="769" ht="15.75" customHeight="1" s="101"/>
    <row r="770" ht="15.75" customHeight="1" s="101"/>
    <row r="771" ht="15.75" customHeight="1" s="101"/>
    <row r="772" ht="15.75" customHeight="1" s="101"/>
    <row r="773" ht="15.75" customHeight="1" s="101"/>
    <row r="774" ht="15.75" customHeight="1" s="101"/>
    <row r="775" ht="15.75" customHeight="1" s="101"/>
    <row r="776" ht="15.75" customHeight="1" s="101"/>
    <row r="777" ht="15.75" customHeight="1" s="101"/>
    <row r="778" ht="15.75" customHeight="1" s="101"/>
    <row r="779" ht="15.75" customHeight="1" s="101"/>
    <row r="780" ht="15.75" customHeight="1" s="101"/>
    <row r="781" ht="15.75" customHeight="1" s="101"/>
    <row r="782" ht="15.75" customHeight="1" s="101"/>
    <row r="783" ht="15.75" customHeight="1" s="101"/>
    <row r="784" ht="15.75" customHeight="1" s="101"/>
    <row r="785" ht="15.75" customHeight="1" s="101"/>
    <row r="786" ht="15.75" customHeight="1" s="101"/>
    <row r="787" ht="15.75" customHeight="1" s="101"/>
    <row r="788" ht="15.75" customHeight="1" s="101"/>
    <row r="789" ht="15.75" customHeight="1" s="101"/>
    <row r="790" ht="15.75" customHeight="1" s="101"/>
    <row r="791" ht="15.75" customHeight="1" s="101"/>
    <row r="792" ht="15.75" customHeight="1" s="101"/>
    <row r="793" ht="15.75" customHeight="1" s="101"/>
    <row r="794" ht="15.75" customHeight="1" s="101"/>
    <row r="795" ht="15.75" customHeight="1" s="101"/>
    <row r="796" ht="15.75" customHeight="1" s="101"/>
    <row r="797" ht="15.75" customHeight="1" s="101"/>
    <row r="798" ht="15.75" customHeight="1" s="101"/>
    <row r="799" ht="15.75" customHeight="1" s="101"/>
    <row r="800" ht="15.75" customHeight="1" s="101"/>
    <row r="801" ht="15.75" customHeight="1" s="101"/>
    <row r="802" ht="15.75" customHeight="1" s="101"/>
    <row r="803" ht="15.75" customHeight="1" s="101"/>
    <row r="804" ht="15.75" customHeight="1" s="101"/>
    <row r="805" ht="15.75" customHeight="1" s="101"/>
    <row r="806" ht="15.75" customHeight="1" s="101"/>
    <row r="807" ht="15.75" customHeight="1" s="101"/>
    <row r="808" ht="15.75" customHeight="1" s="101"/>
    <row r="809" ht="15.75" customHeight="1" s="101"/>
    <row r="810" ht="15.75" customHeight="1" s="101"/>
    <row r="811" ht="15.75" customHeight="1" s="101"/>
    <row r="812" ht="15.75" customHeight="1" s="101"/>
    <row r="813" ht="15.75" customHeight="1" s="101"/>
    <row r="814" ht="15.75" customHeight="1" s="101"/>
    <row r="815" ht="15.75" customHeight="1" s="101"/>
    <row r="816" ht="15.75" customHeight="1" s="101"/>
    <row r="817" ht="15.75" customHeight="1" s="101"/>
    <row r="818" ht="15.75" customHeight="1" s="101"/>
    <row r="819" ht="15.75" customHeight="1" s="101"/>
    <row r="820" ht="15.75" customHeight="1" s="101"/>
    <row r="821" ht="15.75" customHeight="1" s="101"/>
    <row r="822" ht="15.75" customHeight="1" s="101"/>
    <row r="823" ht="15.75" customHeight="1" s="101"/>
    <row r="824" ht="15.75" customHeight="1" s="101"/>
    <row r="825" ht="15.75" customHeight="1" s="101"/>
    <row r="826" ht="15.75" customHeight="1" s="101"/>
    <row r="827" ht="15.75" customHeight="1" s="101"/>
    <row r="828" ht="15.75" customHeight="1" s="101"/>
    <row r="829" ht="15.75" customHeight="1" s="101"/>
    <row r="830" ht="15.75" customHeight="1" s="101"/>
    <row r="831" ht="15.75" customHeight="1" s="101"/>
    <row r="832" ht="15.75" customHeight="1" s="101"/>
    <row r="833" ht="15.75" customHeight="1" s="101"/>
    <row r="834" ht="15.75" customHeight="1" s="101"/>
    <row r="835" ht="15.75" customHeight="1" s="101"/>
    <row r="836" ht="15.75" customHeight="1" s="101"/>
    <row r="837" ht="15.75" customHeight="1" s="101"/>
    <row r="838" ht="15.75" customHeight="1" s="101"/>
    <row r="839" ht="15.75" customHeight="1" s="101"/>
    <row r="840" ht="15.75" customHeight="1" s="101"/>
    <row r="841" ht="15.75" customHeight="1" s="101"/>
    <row r="842" ht="15.75" customHeight="1" s="101"/>
    <row r="843" ht="15.75" customHeight="1" s="101"/>
    <row r="844" ht="15.75" customHeight="1" s="101"/>
    <row r="845" ht="15.75" customHeight="1" s="101"/>
    <row r="846" ht="15.75" customHeight="1" s="101"/>
    <row r="847" ht="15.75" customHeight="1" s="101"/>
    <row r="848" ht="15.75" customHeight="1" s="101"/>
    <row r="849" ht="15.75" customHeight="1" s="101"/>
    <row r="850" ht="15.75" customHeight="1" s="101"/>
    <row r="851" ht="15.75" customHeight="1" s="101"/>
    <row r="852" ht="15.75" customHeight="1" s="101"/>
    <row r="853" ht="15.75" customHeight="1" s="101"/>
    <row r="854" ht="15.75" customHeight="1" s="101"/>
    <row r="855" ht="15.75" customHeight="1" s="101"/>
    <row r="856" ht="15.75" customHeight="1" s="101"/>
    <row r="857" ht="15.75" customHeight="1" s="101"/>
    <row r="858" ht="15.75" customHeight="1" s="101"/>
    <row r="859" ht="15.75" customHeight="1" s="101"/>
    <row r="860" ht="15.75" customHeight="1" s="101"/>
    <row r="861" ht="15.75" customHeight="1" s="101"/>
    <row r="862" ht="15.75" customHeight="1" s="101"/>
    <row r="863" ht="15.75" customHeight="1" s="101"/>
    <row r="864" ht="15.75" customHeight="1" s="101"/>
    <row r="865" ht="15.75" customHeight="1" s="101"/>
    <row r="866" ht="15.75" customHeight="1" s="101"/>
    <row r="867" ht="15.75" customHeight="1" s="101"/>
    <row r="868" ht="15.75" customHeight="1" s="101"/>
    <row r="869" ht="15.75" customHeight="1" s="101"/>
    <row r="870" ht="15.75" customHeight="1" s="101"/>
    <row r="871" ht="15.75" customHeight="1" s="101"/>
    <row r="872" ht="15.75" customHeight="1" s="101"/>
    <row r="873" ht="15.75" customHeight="1" s="101"/>
    <row r="874" ht="15.75" customHeight="1" s="101"/>
    <row r="875" ht="15.75" customHeight="1" s="101"/>
    <row r="876" ht="15.75" customHeight="1" s="101"/>
    <row r="877" ht="15.75" customHeight="1" s="101"/>
    <row r="878" ht="15.75" customHeight="1" s="101"/>
    <row r="879" ht="15.75" customHeight="1" s="101"/>
    <row r="880" ht="15.75" customHeight="1" s="101"/>
    <row r="881" ht="15.75" customHeight="1" s="101"/>
    <row r="882" ht="15.75" customHeight="1" s="101"/>
    <row r="883" ht="15.75" customHeight="1" s="101"/>
    <row r="884" ht="15.75" customHeight="1" s="101"/>
    <row r="885" ht="15.75" customHeight="1" s="101"/>
    <row r="886" ht="15.75" customHeight="1" s="101"/>
    <row r="887" ht="15.75" customHeight="1" s="101"/>
    <row r="888" ht="15.75" customHeight="1" s="101"/>
    <row r="889" ht="15.75" customHeight="1" s="101"/>
    <row r="890" ht="15.75" customHeight="1" s="101"/>
    <row r="891" ht="15.75" customHeight="1" s="101"/>
    <row r="892" ht="15.75" customHeight="1" s="101"/>
    <row r="893" ht="15.75" customHeight="1" s="101"/>
    <row r="894" ht="15.75" customHeight="1" s="101"/>
    <row r="895" ht="15.75" customHeight="1" s="101"/>
    <row r="896" ht="15.75" customHeight="1" s="101"/>
    <row r="897" ht="15.75" customHeight="1" s="101"/>
    <row r="898" ht="15.75" customHeight="1" s="101"/>
    <row r="899" ht="15.75" customHeight="1" s="101"/>
    <row r="900" ht="15.75" customHeight="1" s="101"/>
    <row r="901" ht="15.75" customHeight="1" s="101"/>
    <row r="902" ht="15.75" customHeight="1" s="101"/>
    <row r="903" ht="15.75" customHeight="1" s="101"/>
    <row r="904" ht="15.75" customHeight="1" s="101"/>
    <row r="905" ht="15.75" customHeight="1" s="101"/>
    <row r="906" ht="15.75" customHeight="1" s="101"/>
    <row r="907" ht="15.75" customHeight="1" s="101"/>
    <row r="908" ht="15.75" customHeight="1" s="101"/>
    <row r="909" ht="15.75" customHeight="1" s="101"/>
    <row r="910" ht="15.75" customHeight="1" s="101"/>
    <row r="911" ht="15.75" customHeight="1" s="101"/>
    <row r="912" ht="15.75" customHeight="1" s="101"/>
    <row r="913" ht="15.75" customHeight="1" s="101"/>
    <row r="914" ht="15.75" customHeight="1" s="101"/>
    <row r="915" ht="15.75" customHeight="1" s="101"/>
    <row r="916" ht="15.75" customHeight="1" s="101"/>
    <row r="917" ht="15.75" customHeight="1" s="101"/>
    <row r="918" ht="15.75" customHeight="1" s="101"/>
    <row r="919" ht="15.75" customHeight="1" s="101"/>
    <row r="920" ht="15.75" customHeight="1" s="101"/>
    <row r="921" ht="15.75" customHeight="1" s="101"/>
    <row r="922" ht="15.75" customHeight="1" s="101"/>
    <row r="923" ht="15.75" customHeight="1" s="101"/>
    <row r="924" ht="15.75" customHeight="1" s="101"/>
    <row r="925" ht="15.75" customHeight="1" s="101"/>
    <row r="926" ht="15.75" customHeight="1" s="101"/>
    <row r="927" ht="15.75" customHeight="1" s="101"/>
    <row r="928" ht="15.75" customHeight="1" s="101"/>
    <row r="929" ht="15.75" customHeight="1" s="101"/>
    <row r="930" ht="15.75" customHeight="1" s="101"/>
    <row r="931" ht="15.75" customHeight="1" s="101"/>
    <row r="932" ht="15.75" customHeight="1" s="101"/>
    <row r="933" ht="15.75" customHeight="1" s="101"/>
    <row r="934" ht="15.75" customHeight="1" s="101"/>
    <row r="935" ht="15.75" customHeight="1" s="101"/>
    <row r="936" ht="15.75" customHeight="1" s="101"/>
    <row r="937" ht="15.75" customHeight="1" s="101"/>
    <row r="938" ht="15.75" customHeight="1" s="101"/>
    <row r="939" ht="15.75" customHeight="1" s="101"/>
    <row r="940" ht="15.75" customHeight="1" s="101"/>
    <row r="941" ht="15.75" customHeight="1" s="101"/>
    <row r="942" ht="15.75" customHeight="1" s="101"/>
    <row r="943" ht="15.75" customHeight="1" s="101"/>
    <row r="944" ht="15.75" customHeight="1" s="101"/>
    <row r="945" ht="15.75" customHeight="1" s="101"/>
    <row r="946" ht="15.75" customHeight="1" s="101"/>
    <row r="947" ht="15.75" customHeight="1" s="101"/>
    <row r="948" ht="15.75" customHeight="1" s="101"/>
    <row r="949" ht="15.75" customHeight="1" s="101"/>
    <row r="950" ht="15.75" customHeight="1" s="101"/>
    <row r="951" ht="15.75" customHeight="1" s="101"/>
    <row r="952" ht="15.75" customHeight="1" s="101"/>
    <row r="953" ht="15.75" customHeight="1" s="101"/>
    <row r="954" ht="15.75" customHeight="1" s="101"/>
    <row r="955" ht="15.75" customHeight="1" s="101"/>
    <row r="956" ht="15.75" customHeight="1" s="101"/>
    <row r="957" ht="15.75" customHeight="1" s="101"/>
    <row r="958" ht="15.75" customHeight="1" s="101"/>
    <row r="959" ht="15.75" customHeight="1" s="101"/>
    <row r="960" ht="15.75" customHeight="1" s="101"/>
    <row r="961" ht="15.75" customHeight="1" s="101"/>
    <row r="962" ht="15.75" customHeight="1" s="101"/>
    <row r="963" ht="15.75" customHeight="1" s="101"/>
    <row r="964" ht="15.75" customHeight="1" s="101"/>
    <row r="965" ht="15.75" customHeight="1" s="101"/>
    <row r="966" ht="15.75" customHeight="1" s="101"/>
    <row r="967" ht="15.75" customHeight="1" s="101"/>
    <row r="968" ht="15.75" customHeight="1" s="101"/>
    <row r="969" ht="15.75" customHeight="1" s="101"/>
    <row r="970" ht="15.75" customHeight="1" s="101"/>
    <row r="971" ht="15.75" customHeight="1" s="101"/>
    <row r="972" ht="15.75" customHeight="1" s="101"/>
    <row r="973" ht="15.75" customHeight="1" s="101"/>
    <row r="974" ht="15.75" customHeight="1" s="101"/>
    <row r="975" ht="15.75" customHeight="1" s="101"/>
    <row r="976" ht="15.75" customHeight="1" s="101"/>
    <row r="977" ht="15.75" customHeight="1" s="101"/>
    <row r="978" ht="15.75" customHeight="1" s="101"/>
    <row r="979" ht="15.75" customHeight="1" s="101"/>
    <row r="980" ht="15.75" customHeight="1" s="101"/>
    <row r="981" ht="15.75" customHeight="1" s="101"/>
    <row r="982" ht="15.75" customHeight="1" s="101"/>
    <row r="983" ht="15.75" customHeight="1" s="101"/>
    <row r="984" ht="15.75" customHeight="1" s="101"/>
    <row r="985" ht="15.75" customHeight="1" s="101"/>
    <row r="986" ht="15.75" customHeight="1" s="101"/>
    <row r="987" ht="15.75" customHeight="1" s="101"/>
    <row r="988" ht="15.75" customHeight="1" s="101"/>
    <row r="989" ht="15.75" customHeight="1" s="101"/>
    <row r="990" ht="15.75" customHeight="1" s="101"/>
    <row r="991" ht="15.75" customHeight="1" s="101"/>
    <row r="992" ht="15.75" customHeight="1" s="101"/>
    <row r="993" ht="15.75" customHeight="1" s="101"/>
    <row r="994" ht="15.75" customHeight="1" s="101"/>
    <row r="995" ht="15.75" customHeight="1" s="101"/>
    <row r="996" ht="15.75" customHeight="1" s="101"/>
    <row r="997" ht="15.75" customHeight="1" s="101"/>
    <row r="998" ht="15.75" customHeight="1" s="101"/>
    <row r="999" ht="15.75" customHeight="1" s="101"/>
    <row r="1000" ht="15.75" customHeight="1" s="10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0016A085"/>
    <outlinePr summaryBelow="1" summaryRight="1"/>
    <pageSetUpPr/>
  </sheetPr>
  <dimension ref="A1:H5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101" min="1" max="1"/>
    <col width="22" customWidth="1" style="101" min="2" max="2"/>
    <col width="16" customWidth="1" style="101" min="3" max="3"/>
    <col width="16" customWidth="1" style="101" min="4" max="4"/>
    <col width="16" customWidth="1" style="101" min="5" max="5"/>
    <col width="16" customWidth="1" style="101" min="6" max="6"/>
    <col width="16" customWidth="1" style="101" min="7" max="7"/>
    <col width="3" customWidth="1" style="101" min="8" max="8"/>
  </cols>
  <sheetData>
    <row r="1" ht="40" customHeight="1" s="101">
      <c r="B1" s="125" t="inlineStr">
        <is>
          <t>✈️  PLANEJAMENTO DE VIAGEM</t>
        </is>
      </c>
    </row>
    <row r="2" ht="8" customHeight="1" s="101"/>
    <row r="3" ht="26" customHeight="1" s="101">
      <c r="B3" s="126" t="inlineStr">
        <is>
          <t>📋  DADOS DA VIAGEM</t>
        </is>
      </c>
    </row>
    <row r="4" ht="22" customHeight="1" s="101">
      <c r="B4" s="194" t="inlineStr">
        <is>
          <t>Nome da Viagem</t>
        </is>
      </c>
      <c r="C4" s="128" t="inlineStr"/>
      <c r="D4" s="129" t="inlineStr">
        <is>
          <t>Ex: Viagem a Floripa</t>
        </is>
      </c>
    </row>
    <row r="5" ht="22" customHeight="1" s="101">
      <c r="B5" s="194" t="inlineStr">
        <is>
          <t>🗺️ Cidade de Destino</t>
        </is>
      </c>
      <c r="E5" s="243" t="inlineStr"/>
      <c r="H5" s="244" t="inlineStr">
        <is>
          <t>← Ex: Florianópolis, SC</t>
        </is>
      </c>
    </row>
    <row r="6" ht="22" customHeight="1" s="101">
      <c r="B6" s="130" t="inlineStr">
        <is>
          <t>Data de Saída</t>
        </is>
      </c>
      <c r="C6" s="128" t="n"/>
      <c r="D6" s="131" t="inlineStr">
        <is>
          <t>← preencha a data de saída</t>
        </is>
      </c>
    </row>
    <row r="7" ht="22" customHeight="1" s="101">
      <c r="B7" s="194" t="inlineStr">
        <is>
          <t>Data de Retorno</t>
        </is>
      </c>
      <c r="C7" s="128" t="n"/>
      <c r="D7" s="132">
        <f>IF(AND(C5&lt;&gt;"",C6&lt;&gt;""),TEXT(C6-C5,"0")&amp;" dias","— informe as datas")</f>
        <v/>
      </c>
    </row>
    <row r="8" ht="22" customHeight="1" s="101">
      <c r="B8" s="130" t="inlineStr">
        <is>
          <t>Nº de Pessoas</t>
        </is>
      </c>
      <c r="C8" s="128" t="n">
        <v>2</v>
      </c>
      <c r="D8" s="133" t="n"/>
      <c r="E8" s="133" t="n"/>
      <c r="F8" s="133" t="n"/>
      <c r="G8" s="133" t="n"/>
    </row>
    <row r="9" ht="10" customHeight="1" s="101">
      <c r="B9" s="194" t="inlineStr">
        <is>
          <t>Orçamento Total (R$)</t>
        </is>
      </c>
      <c r="C9" s="134" t="n">
        <v>0</v>
      </c>
      <c r="D9" s="135" t="n"/>
      <c r="E9" s="135" t="n"/>
      <c r="F9" s="135" t="n"/>
      <c r="G9" s="135" t="n"/>
    </row>
    <row r="10" ht="26" customHeight="1" s="101"/>
    <row r="11" ht="22" customHeight="1" s="101">
      <c r="B11" s="136" t="inlineStr">
        <is>
          <t>⛽  CALCULADORA DE COMBUSTÍVEL</t>
        </is>
      </c>
    </row>
    <row r="12" ht="22" customHeight="1" s="101">
      <c r="B12" s="229" t="inlineStr">
        <is>
          <t>Distância total (km)</t>
        </is>
      </c>
      <c r="C12" s="138" t="n">
        <v>0</v>
      </c>
      <c r="D12" s="133" t="n"/>
      <c r="E12" s="131" t="inlineStr">
        <is>
          <t>Ida + volta. Ex: SP→Floripa = 600km × 2</t>
        </is>
      </c>
    </row>
    <row r="13" ht="22" customHeight="1" s="101">
      <c r="B13" s="139" t="inlineStr">
        <is>
          <t>Consumo do carro (km/L)</t>
        </is>
      </c>
      <c r="C13" s="140" t="n">
        <v>12</v>
      </c>
      <c r="D13" s="141" t="n"/>
      <c r="E13" s="142" t="inlineStr">
        <is>
          <t>Consulte o manual do veículo</t>
        </is>
      </c>
    </row>
    <row r="14" ht="22" customHeight="1" s="101">
      <c r="B14" s="229" t="inlineStr">
        <is>
          <t>Tipo de combustível</t>
        </is>
      </c>
      <c r="C14" s="143" t="inlineStr">
        <is>
          <t>Gasolina</t>
        </is>
      </c>
      <c r="D14" s="133" t="n"/>
      <c r="E14" s="131" t="inlineStr">
        <is>
          <t>Gasolina / Etanol / Diesel</t>
        </is>
      </c>
    </row>
    <row r="15" ht="22" customHeight="1" s="101">
      <c r="B15" s="139" t="inlineStr">
        <is>
          <t>Preço do combustível (R$/L)</t>
        </is>
      </c>
      <c r="C15" s="144" t="n">
        <v>5.5</v>
      </c>
      <c r="D15" s="141" t="n"/>
      <c r="E15" s="142" t="inlineStr">
        <is>
          <t>← insira o preço atual (veja nota abaixo)</t>
        </is>
      </c>
    </row>
    <row r="16" ht="22" customHeight="1" s="101">
      <c r="B16" s="145" t="inlineStr">
        <is>
          <t>— Litros necessários</t>
        </is>
      </c>
      <c r="C16" s="146">
        <f>IFERROR(C11/C12,0)</f>
        <v/>
      </c>
      <c r="D16" s="133" t="n"/>
      <c r="E16" s="131">
        <f> distância ÷ consumo</f>
        <v/>
      </c>
    </row>
    <row r="17" ht="22" customHeight="1" s="101">
      <c r="B17" s="147" t="inlineStr">
        <is>
          <t>— Custo total combustível</t>
        </is>
      </c>
      <c r="C17" s="148">
        <f>IFERROR(C15*C14,0)</f>
        <v/>
      </c>
      <c r="D17" s="141" t="n"/>
      <c r="E17" s="142">
        <f> litros × preço</f>
        <v/>
      </c>
    </row>
    <row r="18" ht="28" customHeight="1" s="101">
      <c r="B18" s="145" t="inlineStr">
        <is>
          <t>— Custo por pessoa</t>
        </is>
      </c>
      <c r="C18" s="148">
        <f>IFERROR(C16/C7,0)</f>
        <v/>
      </c>
      <c r="D18" s="133" t="n"/>
      <c r="E18" s="131">
        <f> custo total ÷ nº pessoas (C7)</f>
        <v/>
      </c>
    </row>
    <row r="19" ht="10" customHeight="1" s="101">
      <c r="B19" s="149" t="inlineStr">
        <is>
          <t>💡 Preço do combustível: consulte https://www.gov.br/anp (média semanal por estado) ou apps como Waze / Meu Combustível / Postos da Cidade.</t>
        </is>
      </c>
    </row>
    <row r="20" ht="26" customHeight="1" s="101"/>
    <row r="21" ht="20" customHeight="1" s="101">
      <c r="B21" s="150" t="inlineStr">
        <is>
          <t>🏨  HOSPEDAGEM</t>
        </is>
      </c>
    </row>
    <row r="22" ht="20" customHeight="1" s="101">
      <c r="B22" s="213" t="inlineStr">
        <is>
          <t>Local / Acomodação</t>
        </is>
      </c>
      <c r="C22" s="213" t="inlineStr">
        <is>
          <t>Entrada</t>
        </is>
      </c>
      <c r="D22" s="213" t="inlineStr">
        <is>
          <t>Saída</t>
        </is>
      </c>
      <c r="E22" s="213" t="inlineStr">
        <is>
          <t>Noites</t>
        </is>
      </c>
      <c r="F22" s="213" t="inlineStr">
        <is>
          <t>R$/Noite</t>
        </is>
      </c>
      <c r="G22" s="213" t="inlineStr">
        <is>
          <t>Total</t>
        </is>
      </c>
    </row>
    <row r="23" ht="20" customHeight="1" s="101">
      <c r="B23" s="152" t="n"/>
      <c r="C23" s="152" t="n"/>
      <c r="D23" s="152" t="n"/>
      <c r="E23" s="153">
        <f>IFERROR(D22-C22,0)</f>
        <v/>
      </c>
      <c r="F23" s="154" t="n"/>
      <c r="G23" s="155">
        <f>IFERROR(E22*F22,0)</f>
        <v/>
      </c>
    </row>
    <row r="24" ht="20" customHeight="1" s="101">
      <c r="B24" s="156" t="n"/>
      <c r="C24" s="156" t="n"/>
      <c r="D24" s="156" t="n"/>
      <c r="E24" s="157">
        <f>IFERROR(D23-C23,0)</f>
        <v/>
      </c>
      <c r="F24" s="158" t="n"/>
      <c r="G24" s="196">
        <f>IFERROR(E23*F23,0)</f>
        <v/>
      </c>
    </row>
    <row r="25" ht="20" customHeight="1" s="101">
      <c r="B25" s="152" t="n"/>
      <c r="C25" s="152" t="n"/>
      <c r="D25" s="152" t="n"/>
      <c r="E25" s="153">
        <f>IFERROR(D24-C24,0)</f>
        <v/>
      </c>
      <c r="F25" s="154" t="n"/>
      <c r="G25" s="155">
        <f>IFERROR(E24*F24,0)</f>
        <v/>
      </c>
    </row>
    <row r="26" ht="20" customHeight="1" s="101">
      <c r="B26" s="156" t="n"/>
      <c r="C26" s="156" t="n"/>
      <c r="D26" s="156" t="n"/>
      <c r="E26" s="157">
        <f>IFERROR(D25-C25,0)</f>
        <v/>
      </c>
      <c r="F26" s="158" t="n"/>
      <c r="G26" s="196">
        <f>IFERROR(E25*F25,0)</f>
        <v/>
      </c>
    </row>
    <row r="27" ht="22" customHeight="1" s="101">
      <c r="B27" s="152" t="n"/>
      <c r="C27" s="152" t="n"/>
      <c r="D27" s="152" t="n"/>
      <c r="E27" s="153">
        <f>IFERROR(D26-C26,0)</f>
        <v/>
      </c>
      <c r="F27" s="154" t="n"/>
      <c r="G27" s="155">
        <f>IFERROR(E26*F26,0)</f>
        <v/>
      </c>
    </row>
    <row r="28" ht="10" customHeight="1" s="101">
      <c r="B28" s="160" t="inlineStr">
        <is>
          <t>TOTAL HOSPEDAGEM</t>
        </is>
      </c>
      <c r="G28" s="161">
        <f>SUM(G22:G26)</f>
        <v/>
      </c>
    </row>
    <row r="29" ht="26" customHeight="1" s="101"/>
    <row r="30" ht="22" customHeight="1" s="101">
      <c r="B30" s="162" t="inlineStr">
        <is>
          <t>🍽️  ALIMENTAÇÃO</t>
        </is>
      </c>
    </row>
    <row r="31" ht="22" customHeight="1" s="101">
      <c r="B31" s="197" t="inlineStr">
        <is>
          <t>Custo estimado por pessoa/dia (R$)</t>
        </is>
      </c>
      <c r="C31" s="164" t="n">
        <v>80</v>
      </c>
      <c r="D31" s="135" t="n"/>
      <c r="E31" s="135" t="n"/>
      <c r="F31" s="135" t="n"/>
      <c r="G31" s="135" t="n"/>
    </row>
    <row r="32" ht="22" customHeight="1" s="101">
      <c r="B32" s="229" t="inlineStr">
        <is>
          <t>Número de dias</t>
        </is>
      </c>
      <c r="C32" s="165">
        <f>IFERROR(C6-C5,0)</f>
        <v/>
      </c>
      <c r="D32" s="133" t="n"/>
      <c r="E32" s="133" t="n"/>
      <c r="F32" s="133" t="n"/>
      <c r="G32" s="133" t="n"/>
    </row>
    <row r="33" ht="22" customHeight="1" s="101">
      <c r="B33" s="197" t="inlineStr">
        <is>
          <t>Número de pessoas</t>
        </is>
      </c>
      <c r="C33" s="166">
        <f>C7</f>
        <v/>
      </c>
      <c r="D33" s="135" t="n"/>
      <c r="E33" s="135" t="n"/>
      <c r="F33" s="135" t="n"/>
      <c r="G33" s="135" t="n"/>
    </row>
    <row r="34" ht="10" customHeight="1" s="101">
      <c r="B34" s="167" t="inlineStr">
        <is>
          <t>— TOTAL ALIMENTAÇÃO</t>
        </is>
      </c>
      <c r="C34" s="168">
        <f>IFERROR(C30*C31*C32,0)</f>
        <v/>
      </c>
      <c r="D34" s="169" t="n"/>
      <c r="E34" s="169" t="n"/>
      <c r="F34" s="169" t="n"/>
      <c r="G34" s="169" t="n"/>
    </row>
    <row r="35" ht="26" customHeight="1" s="101"/>
    <row r="36" ht="20" customHeight="1" s="101">
      <c r="B36" s="170" t="inlineStr">
        <is>
          <t>🎡  PASSEIOS E OUTROS</t>
        </is>
      </c>
    </row>
    <row r="37" ht="20" customHeight="1" s="101">
      <c r="B37" s="213" t="inlineStr">
        <is>
          <t>Descrição</t>
        </is>
      </c>
      <c r="C37" s="213" t="inlineStr">
        <is>
          <t>Tipo</t>
        </is>
      </c>
      <c r="D37" s="171" t="n"/>
      <c r="E37" s="171" t="n"/>
      <c r="F37" s="171" t="n"/>
      <c r="G37" s="213" t="inlineStr">
        <is>
          <t>Valor (R$)</t>
        </is>
      </c>
    </row>
    <row r="38" ht="20" customHeight="1" s="101">
      <c r="B38" s="172" t="n"/>
      <c r="C38" s="172" t="n"/>
      <c r="D38" s="172" t="n"/>
      <c r="E38" s="172" t="n"/>
      <c r="F38" s="172" t="n"/>
      <c r="G38" s="173" t="n"/>
    </row>
    <row r="39" ht="20" customHeight="1" s="101">
      <c r="B39" s="133" t="n"/>
      <c r="C39" s="133" t="n"/>
      <c r="D39" s="133" t="n"/>
      <c r="E39" s="133" t="n"/>
      <c r="F39" s="133" t="n"/>
      <c r="G39" s="221" t="n"/>
    </row>
    <row r="40" ht="20" customHeight="1" s="101">
      <c r="B40" s="172" t="n"/>
      <c r="C40" s="172" t="n"/>
      <c r="D40" s="172" t="n"/>
      <c r="E40" s="172" t="n"/>
      <c r="F40" s="172" t="n"/>
      <c r="G40" s="173" t="n"/>
    </row>
    <row r="41" ht="20" customHeight="1" s="101">
      <c r="B41" s="133" t="n"/>
      <c r="C41" s="133" t="n"/>
      <c r="D41" s="133" t="n"/>
      <c r="E41" s="133" t="n"/>
      <c r="F41" s="133" t="n"/>
      <c r="G41" s="221" t="n"/>
    </row>
    <row r="42" ht="20" customHeight="1" s="101">
      <c r="B42" s="172" t="n"/>
      <c r="C42" s="172" t="n"/>
      <c r="D42" s="172" t="n"/>
      <c r="E42" s="172" t="n"/>
      <c r="F42" s="172" t="n"/>
      <c r="G42" s="173" t="n"/>
    </row>
    <row r="43" ht="22" customHeight="1" s="101">
      <c r="B43" s="133" t="n"/>
      <c r="C43" s="133" t="n"/>
      <c r="D43" s="133" t="n"/>
      <c r="E43" s="133" t="n"/>
      <c r="F43" s="133" t="n"/>
      <c r="G43" s="221" t="n"/>
    </row>
    <row r="44" ht="10" customHeight="1" s="101">
      <c r="B44" s="175" t="inlineStr">
        <is>
          <t>TOTAL OUTROS</t>
        </is>
      </c>
      <c r="G44" s="176">
        <f>SUM(G37:G42)</f>
        <v/>
      </c>
    </row>
    <row r="45" ht="26" customHeight="1" s="101"/>
    <row r="46" ht="22" customHeight="1" s="101">
      <c r="B46" s="177" t="inlineStr">
        <is>
          <t>💰  RESUMO TOTAL DA VIAGEM</t>
        </is>
      </c>
    </row>
    <row r="47" ht="22" customHeight="1" s="101">
      <c r="B47" s="178" t="inlineStr">
        <is>
          <t>⛽ Combustível</t>
        </is>
      </c>
      <c r="G47" s="179">
        <f>C16</f>
        <v/>
      </c>
    </row>
    <row r="48" ht="22" customHeight="1" s="101">
      <c r="B48" s="180" t="inlineStr">
        <is>
          <t>🏨 Hospedagem</t>
        </is>
      </c>
      <c r="G48" s="181">
        <f>G27</f>
        <v/>
      </c>
    </row>
    <row r="49" ht="22" customHeight="1" s="101">
      <c r="B49" s="182" t="inlineStr">
        <is>
          <t>🍽️ Alimentação</t>
        </is>
      </c>
      <c r="G49" s="235">
        <f>C33</f>
        <v/>
      </c>
    </row>
    <row r="50" ht="36" customHeight="1" s="101">
      <c r="B50" s="184" t="inlineStr">
        <is>
          <t>🎡 Outros</t>
        </is>
      </c>
      <c r="G50" s="185">
        <f>G43</f>
        <v/>
      </c>
    </row>
    <row r="51" ht="22" customHeight="1" s="101">
      <c r="B51" s="186" t="inlineStr">
        <is>
          <t>🧳 TOTAL DA VIAGEM</t>
        </is>
      </c>
      <c r="G51" s="187">
        <f>SUM(G46:G49)</f>
        <v/>
      </c>
    </row>
    <row r="52" ht="22" customHeight="1" s="101">
      <c r="B52" s="188" t="inlineStr">
        <is>
          <t>👤 Total por pessoa</t>
        </is>
      </c>
      <c r="G52" s="189">
        <f>IFERROR(G50/C7,0)</f>
        <v/>
      </c>
    </row>
    <row r="53">
      <c r="B53" s="190">
        <f>IF(C8-G50&gt;=0,"✅ Sobra do orçamento","⚠️ Estouro do orçamento")</f>
        <v/>
      </c>
      <c r="G53" s="191">
        <f>C8-G50</f>
        <v/>
      </c>
    </row>
  </sheetData>
  <mergeCells count="28">
    <mergeCell ref="E13:G13"/>
    <mergeCell ref="B47:F47"/>
    <mergeCell ref="B1:G1"/>
    <mergeCell ref="B46:F46"/>
    <mergeCell ref="D5:G5"/>
    <mergeCell ref="E15:G15"/>
    <mergeCell ref="B29:G29"/>
    <mergeCell ref="B27:F27"/>
    <mergeCell ref="B52:F52"/>
    <mergeCell ref="B43:F43"/>
    <mergeCell ref="B10:G10"/>
    <mergeCell ref="E11:G11"/>
    <mergeCell ref="B48:F48"/>
    <mergeCell ref="E16:G16"/>
    <mergeCell ref="B20:G20"/>
    <mergeCell ref="B5:D5"/>
    <mergeCell ref="D6:G6"/>
    <mergeCell ref="B45:G45"/>
    <mergeCell ref="B35:G35"/>
    <mergeCell ref="E12:G12"/>
    <mergeCell ref="B49:F49"/>
    <mergeCell ref="B3:G3"/>
    <mergeCell ref="E14:G14"/>
    <mergeCell ref="B51:F51"/>
    <mergeCell ref="E17:G17"/>
    <mergeCell ref="B18:G18"/>
    <mergeCell ref="B50:F50"/>
    <mergeCell ref="D4:G4"/>
  </mergeCells>
  <dataValidations count="2">
    <dataValidation sqref="C37:C42" showDropDown="0" showInputMessage="0" showErrorMessage="0" allowBlank="0" type="list">
      <formula1>"Ingresso,Passeio,Transporte,Compras,Emergência,Outro"</formula1>
    </dataValidation>
    <dataValidation sqref="C37:C42" showDropDown="0" showInputMessage="0" showErrorMessage="0" allowBlank="0" type="list">
      <formula1>"Ingresso,Passeio,Transporte,Compras,Emergência,Outro"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74C3C"/>
    <outlinePr summaryBelow="1" summaryRight="1"/>
    <pageSetUpPr/>
  </sheetPr>
  <dimension ref="A1:H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style="101" min="1" max="1"/>
    <col width="20" customWidth="1" style="101" min="2" max="2"/>
    <col width="8" customWidth="1" style="101" min="3" max="3"/>
    <col width="8" customWidth="1" style="101" min="4" max="4"/>
    <col width="3" customWidth="1" style="101" min="5" max="5"/>
    <col width="16" customWidth="1" style="101" min="6" max="6"/>
    <col width="8" customWidth="1" style="101" min="7" max="7"/>
    <col width="8" customWidth="1" style="101" min="8" max="8"/>
  </cols>
  <sheetData>
    <row r="1" ht="40" customHeight="1" s="101">
      <c r="A1" s="192" t="inlineStr">
        <is>
          <t>🛒  COMPRAS &amp; METAS FINANCEIRAS</t>
        </is>
      </c>
    </row>
    <row r="2" ht="10" customHeight="1" s="101"/>
    <row r="3" ht="28" customHeight="1" s="101">
      <c r="A3" s="193" t="inlineStr">
        <is>
          <t>🎯  CALCULADORA DE META — Quanto guardar por mês</t>
        </is>
      </c>
    </row>
    <row r="4" ht="22" customHeight="1" s="101">
      <c r="A4" s="194" t="inlineStr">
        <is>
          <t>Produto / Objetivo</t>
        </is>
      </c>
      <c r="E4" s="195" t="inlineStr"/>
    </row>
    <row r="5" ht="22" customHeight="1" s="101">
      <c r="A5" s="194" t="inlineStr">
        <is>
          <t>Valor total necessário (R$)</t>
        </is>
      </c>
      <c r="E5" s="196" t="n">
        <v>0</v>
      </c>
    </row>
    <row r="6" ht="22" customHeight="1" s="101">
      <c r="A6" s="197" t="inlineStr">
        <is>
          <t>Já tenho guardado (R$)</t>
        </is>
      </c>
      <c r="E6" s="196" t="n">
        <v>0</v>
      </c>
    </row>
    <row r="7" ht="22" customHeight="1" s="101">
      <c r="A7" s="198" t="inlineStr">
        <is>
          <t>→ Quanto ainda falta (R$)</t>
        </is>
      </c>
      <c r="E7" s="199">
        <f>IFERROR(E5-E6,0)</f>
        <v/>
      </c>
    </row>
    <row r="8" ht="10" customHeight="1" s="101">
      <c r="A8" s="200" t="n"/>
      <c r="B8" s="200" t="n"/>
      <c r="C8" s="200" t="n"/>
      <c r="D8" s="200" t="n"/>
      <c r="E8" s="200" t="n"/>
      <c r="F8" s="200" t="n"/>
      <c r="G8" s="200" t="n"/>
      <c r="H8" s="200" t="n"/>
    </row>
    <row r="9" ht="24" customHeight="1" s="101">
      <c r="A9" s="201" t="inlineStr">
        <is>
          <t>📌 OPÇÃO A — Quero comprar em X meses</t>
        </is>
      </c>
      <c r="E9" s="202" t="inlineStr">
        <is>
          <t>📌 OPÇÃO B — Consigo guardar X por mês</t>
        </is>
      </c>
    </row>
    <row r="10" ht="22" customHeight="1" s="101">
      <c r="A10" s="203" t="inlineStr">
        <is>
          <t>Quero comprar em (meses):</t>
        </is>
      </c>
      <c r="C10" s="204" t="n">
        <v>12</v>
      </c>
      <c r="E10" s="203" t="inlineStr">
        <is>
          <t>Consigo guardar por mês (R$):</t>
        </is>
      </c>
      <c r="G10" s="205" t="n">
        <v>500</v>
      </c>
    </row>
    <row r="11" ht="28" customHeight="1" s="101">
      <c r="A11" s="206" t="inlineStr">
        <is>
          <t>→ Guardar por mês:</t>
        </is>
      </c>
      <c r="C11" s="207">
        <f>IFERROR(E7/C10,0)</f>
        <v/>
      </c>
      <c r="E11" s="206" t="inlineStr">
        <is>
          <t>→ Meses até a compra:</t>
        </is>
      </c>
      <c r="G11" s="208">
        <f>IFERROR(CEILING(E7/G10,1),0)</f>
        <v/>
      </c>
    </row>
    <row r="12" ht="22" customHeight="1" s="101">
      <c r="A12" s="209" t="inlineStr">
        <is>
          <t>→ Data estimada (Opção A):</t>
        </is>
      </c>
      <c r="C12" s="210">
        <f>IFERROR(EDATE(TODAY(),C10),"")</f>
        <v/>
      </c>
      <c r="E12" s="209" t="inlineStr">
        <is>
          <t>→ Data estimada (Opção B):</t>
        </is>
      </c>
      <c r="G12" s="211">
        <f>IFERROR(EDATE(TODAY(),G11),"")</f>
        <v/>
      </c>
    </row>
    <row r="13" ht="10" customHeight="1" s="101"/>
    <row r="14" ht="26" customHeight="1" s="101">
      <c r="A14" s="212" t="inlineStr">
        <is>
          <t>📋  LISTA DE METAS DE COMPRA</t>
        </is>
      </c>
    </row>
    <row r="15" ht="20" customHeight="1" s="101">
      <c r="A15" s="213" t="inlineStr">
        <is>
          <t>#</t>
        </is>
      </c>
      <c r="B15" s="213" t="inlineStr">
        <is>
          <t>Produto</t>
        </is>
      </c>
      <c r="C15" s="213" t="inlineStr">
        <is>
          <t>Valor (R$)</t>
        </is>
      </c>
      <c r="D15" s="213" t="inlineStr">
        <is>
          <t>Guardado (R$)</t>
        </is>
      </c>
      <c r="E15" s="213" t="inlineStr">
        <is>
          <t>Falta (R$)</t>
        </is>
      </c>
      <c r="F15" s="213" t="inlineStr">
        <is>
          <t>Poupar/mês</t>
        </is>
      </c>
      <c r="G15" s="213" t="inlineStr">
        <is>
          <t>Meses</t>
        </is>
      </c>
      <c r="H15" s="213" t="inlineStr">
        <is>
          <t>Previsão</t>
        </is>
      </c>
    </row>
    <row r="16" ht="22" customHeight="1" s="101">
      <c r="A16" s="214" t="n">
        <v>1</v>
      </c>
      <c r="B16" s="135" t="n"/>
      <c r="C16" s="215" t="n"/>
      <c r="D16" s="215" t="n"/>
      <c r="E16" s="216">
        <f>IFERROR(C16-D16,0)</f>
        <v/>
      </c>
      <c r="F16" s="217">
        <f>IFERROR(E16/C10,0)</f>
        <v/>
      </c>
      <c r="G16" s="218">
        <f>IFERROR(CEILING(E16/G10,1),0)</f>
        <v/>
      </c>
      <c r="H16" s="219">
        <f>IFERROR(EDATE(TODAY(),G16),"")</f>
        <v/>
      </c>
    </row>
    <row r="17" ht="22" customHeight="1" s="101">
      <c r="A17" s="220" t="n">
        <v>2</v>
      </c>
      <c r="B17" s="133" t="n"/>
      <c r="C17" s="221" t="n"/>
      <c r="D17" s="221" t="n"/>
      <c r="E17" s="222">
        <f>IFERROR(C17-D17,0)</f>
        <v/>
      </c>
      <c r="F17" s="223">
        <f>IFERROR(E17/C10,0)</f>
        <v/>
      </c>
      <c r="G17" s="224">
        <f>IFERROR(CEILING(E17/G10,1),0)</f>
        <v/>
      </c>
      <c r="H17" s="225">
        <f>IFERROR(EDATE(TODAY(),G17),"")</f>
        <v/>
      </c>
    </row>
    <row r="18" ht="22" customHeight="1" s="101">
      <c r="A18" s="214" t="n">
        <v>3</v>
      </c>
      <c r="B18" s="135" t="n"/>
      <c r="C18" s="215" t="n"/>
      <c r="D18" s="215" t="n"/>
      <c r="E18" s="216">
        <f>IFERROR(C18-D18,0)</f>
        <v/>
      </c>
      <c r="F18" s="217">
        <f>IFERROR(E18/C10,0)</f>
        <v/>
      </c>
      <c r="G18" s="218">
        <f>IFERROR(CEILING(E18/G10,1),0)</f>
        <v/>
      </c>
      <c r="H18" s="219">
        <f>IFERROR(EDATE(TODAY(),G18),"")</f>
        <v/>
      </c>
    </row>
    <row r="19" ht="22" customHeight="1" s="101">
      <c r="A19" s="220" t="n">
        <v>4</v>
      </c>
      <c r="B19" s="133" t="n"/>
      <c r="C19" s="221" t="n"/>
      <c r="D19" s="221" t="n"/>
      <c r="E19" s="222">
        <f>IFERROR(C19-D19,0)</f>
        <v/>
      </c>
      <c r="F19" s="223">
        <f>IFERROR(E19/C10,0)</f>
        <v/>
      </c>
      <c r="G19" s="224">
        <f>IFERROR(CEILING(E19/G10,1),0)</f>
        <v/>
      </c>
      <c r="H19" s="225">
        <f>IFERROR(EDATE(TODAY(),G19),"")</f>
        <v/>
      </c>
    </row>
    <row r="20" ht="22" customHeight="1" s="101">
      <c r="A20" s="214" t="n">
        <v>5</v>
      </c>
      <c r="B20" s="135" t="n"/>
      <c r="C20" s="215" t="n"/>
      <c r="D20" s="215" t="n"/>
      <c r="E20" s="216">
        <f>IFERROR(C20-D20,0)</f>
        <v/>
      </c>
      <c r="F20" s="217">
        <f>IFERROR(E20/C10,0)</f>
        <v/>
      </c>
      <c r="G20" s="218">
        <f>IFERROR(CEILING(E20/G10,1),0)</f>
        <v/>
      </c>
      <c r="H20" s="219">
        <f>IFERROR(EDATE(TODAY(),G20),"")</f>
        <v/>
      </c>
    </row>
    <row r="21" ht="22" customHeight="1" s="101">
      <c r="A21" s="220" t="n">
        <v>6</v>
      </c>
      <c r="B21" s="133" t="n"/>
      <c r="C21" s="221" t="n"/>
      <c r="D21" s="221" t="n"/>
      <c r="E21" s="222">
        <f>IFERROR(C21-D21,0)</f>
        <v/>
      </c>
      <c r="F21" s="223">
        <f>IFERROR(E21/C10,0)</f>
        <v/>
      </c>
      <c r="G21" s="224">
        <f>IFERROR(CEILING(E21/G10,1),0)</f>
        <v/>
      </c>
      <c r="H21" s="225">
        <f>IFERROR(EDATE(TODAY(),G21),"")</f>
        <v/>
      </c>
    </row>
    <row r="23" ht="14" customHeight="1" s="101"/>
    <row r="24" ht="28" customHeight="1" s="101">
      <c r="A24" s="226" t="inlineStr">
        <is>
          <t>💳  CALCULADORA: À VISTA vs PARCELADO</t>
        </is>
      </c>
    </row>
    <row r="25" ht="14" customHeight="1" s="101">
      <c r="A25" s="227" t="inlineStr">
        <is>
          <t>Preencha os campos em AZUL — o restante é calculado automaticamente</t>
        </is>
      </c>
    </row>
    <row r="26" ht="22" customHeight="1" s="101">
      <c r="A26" s="197" t="inlineStr">
        <is>
          <t>Produto / Descrição</t>
        </is>
      </c>
      <c r="E26" s="228" t="inlineStr"/>
    </row>
    <row r="27" ht="22" customHeight="1" s="101">
      <c r="A27" s="229" t="inlineStr">
        <is>
          <t>Preço à VISTA (R$)</t>
        </is>
      </c>
      <c r="E27" s="230" t="n">
        <v>0</v>
      </c>
    </row>
    <row r="28" ht="22" customHeight="1" s="101">
      <c r="A28" s="197" t="inlineStr">
        <is>
          <t>Desconto à vista (%)</t>
        </is>
      </c>
      <c r="E28" s="231" t="n">
        <v>0</v>
      </c>
    </row>
    <row r="29" ht="22" customHeight="1" s="101">
      <c r="A29" s="232" t="inlineStr">
        <is>
          <t>→ Preço à vista c/ desconto</t>
        </is>
      </c>
      <c r="E29" s="233">
        <f>IFERROR(E27*(1-E28/100),E27)</f>
        <v/>
      </c>
    </row>
    <row r="30" ht="22" customHeight="1" s="101">
      <c r="A30" s="197" t="inlineStr">
        <is>
          <t>Número de parcelas</t>
        </is>
      </c>
      <c r="E30" s="234" t="n">
        <v>12</v>
      </c>
    </row>
    <row r="31" ht="22" customHeight="1" s="101">
      <c r="A31" s="229" t="inlineStr">
        <is>
          <t>Valor de cada parcela (R$)</t>
        </is>
      </c>
      <c r="E31" s="230" t="n">
        <v>0</v>
      </c>
    </row>
    <row r="32" ht="8" customHeight="1" s="101">
      <c r="A32" s="200" t="n"/>
      <c r="B32" s="200" t="n"/>
      <c r="C32" s="200" t="n"/>
      <c r="D32" s="200" t="n"/>
      <c r="E32" s="200" t="n"/>
      <c r="F32" s="200" t="n"/>
      <c r="G32" s="200" t="n"/>
      <c r="H32" s="200" t="n"/>
    </row>
    <row r="33" ht="24" customHeight="1" s="101">
      <c r="A33" s="212" t="inlineStr">
        <is>
          <t>📊  ANÁLISE COMPARATIVA</t>
        </is>
      </c>
    </row>
    <row r="34" ht="22" customHeight="1" s="101">
      <c r="A34" s="197" t="inlineStr">
        <is>
          <t>💵 Total pago à vista</t>
        </is>
      </c>
      <c r="E34" s="235">
        <f>IFERROR(E29,E27)</f>
        <v/>
      </c>
    </row>
    <row r="35" ht="22" customHeight="1" s="101">
      <c r="A35" s="229" t="inlineStr">
        <is>
          <t>💳 Total pago parcelado</t>
        </is>
      </c>
      <c r="E35" s="236">
        <f>IFERROR(E30*E31,0)</f>
        <v/>
      </c>
    </row>
    <row r="36" ht="24" customHeight="1" s="101">
      <c r="A36" s="237" t="inlineStr">
        <is>
          <t>📈 Quanto a mais no parcelado (R$)</t>
        </is>
      </c>
      <c r="E36" s="238">
        <f>IFERROR(E35-E34,0)</f>
        <v/>
      </c>
    </row>
    <row r="37" ht="24" customHeight="1" s="101">
      <c r="A37" s="237" t="inlineStr">
        <is>
          <t>📈 Quanto a mais no parcelado (%)</t>
        </is>
      </c>
      <c r="E37" s="239">
        <f>IFERROR((E35/E34-1)*100,0)</f>
        <v/>
      </c>
    </row>
    <row r="38" ht="24" customHeight="1" s="101">
      <c r="A38" s="237" t="inlineStr">
        <is>
          <t>🔢 Taxa de juros mensal (RATE)</t>
        </is>
      </c>
      <c r="E38" s="240">
        <f>IFERROR(RATE(E30,-E31,E29)*100,0)</f>
        <v/>
      </c>
    </row>
    <row r="39" ht="24" customHeight="1" s="101">
      <c r="A39" s="237" t="inlineStr">
        <is>
          <t>🔢 Taxa de juros anual equivalente</t>
        </is>
      </c>
      <c r="E39" s="240">
        <f>IFERROR(((1+E38/100)^12-1)*100,0)</f>
        <v/>
      </c>
    </row>
    <row r="40" ht="10" customHeight="1" s="101"/>
    <row r="41" ht="40" customHeight="1" s="101">
      <c r="A41" s="241">
        <f>IFERROR(IF(E38&lt;=0,"⚠️ Preencha preço à vista e valor da parcela",
IF(E38&lt;0.8,"✅ JUROS BAIXOS ("&amp;TEXT(E38,"0.00")&amp;"% a.m.) — Parcelar pode valer se você investir a diferença",
IF(E38&lt;1.5,"⚡ JUROS MODERADOS ("&amp;TEXT(E38,"0.00")&amp;"% a.m.) — Prefira à vista se possível",
IF(E38&lt;3,"🔴 JUROS ALTOS ("&amp;TEXT(E38,"0.00")&amp;"% a.m.) — Compre À VISTA. Parcelado custa "&amp;TEXT(E36,"R$ #,##0.00")&amp;" a mais",
"🚨 JUROS ABUSIVOS ("&amp;TEXT(E38,"0.00")&amp;"% a.m.) — NUNCA parcele nessas condições!")))),"Preencha os dados")</f>
        <v/>
      </c>
    </row>
    <row r="42" ht="20" customHeight="1" s="101">
      <c r="A42" s="242" t="inlineStr">
        <is>
          <t>💡 Dica: Se os juros forem menores que o rendimento da sua reserva (ex: CDB/Tesouro ~0,8%/mês), pode valer guardar o dinheiro e parcelar. Mas se não tiver disciplina, pague à vista.</t>
        </is>
      </c>
    </row>
  </sheetData>
  <mergeCells count="54">
    <mergeCell ref="A5:D5"/>
    <mergeCell ref="E12:F12"/>
    <mergeCell ref="G12:H12"/>
    <mergeCell ref="E26:H26"/>
    <mergeCell ref="A35:D35"/>
    <mergeCell ref="A4:D4"/>
    <mergeCell ref="A11:B11"/>
    <mergeCell ref="G11:H11"/>
    <mergeCell ref="A24:H24"/>
    <mergeCell ref="A38:D38"/>
    <mergeCell ref="A29:D29"/>
    <mergeCell ref="E7:H7"/>
    <mergeCell ref="A1:H1"/>
    <mergeCell ref="A28:D28"/>
    <mergeCell ref="E37:H37"/>
    <mergeCell ref="A9:D9"/>
    <mergeCell ref="A31:D31"/>
    <mergeCell ref="C10:D10"/>
    <mergeCell ref="E10:F10"/>
    <mergeCell ref="A25:H25"/>
    <mergeCell ref="A34:D34"/>
    <mergeCell ref="G10:H10"/>
    <mergeCell ref="A30:D30"/>
    <mergeCell ref="A39:D39"/>
    <mergeCell ref="A41:H41"/>
    <mergeCell ref="E5:H5"/>
    <mergeCell ref="A36:D36"/>
    <mergeCell ref="A12:B12"/>
    <mergeCell ref="C12:D12"/>
    <mergeCell ref="A3:H3"/>
    <mergeCell ref="E39:H39"/>
    <mergeCell ref="A6:D6"/>
    <mergeCell ref="C11:D11"/>
    <mergeCell ref="E35:H35"/>
    <mergeCell ref="E4:H4"/>
    <mergeCell ref="E11:F11"/>
    <mergeCell ref="E38:H38"/>
    <mergeCell ref="A42:H42"/>
    <mergeCell ref="A7:D7"/>
    <mergeCell ref="E29:H29"/>
    <mergeCell ref="A14:H14"/>
    <mergeCell ref="A33:H33"/>
    <mergeCell ref="E28:H28"/>
    <mergeCell ref="A37:D37"/>
    <mergeCell ref="A27:D27"/>
    <mergeCell ref="E9:H9"/>
    <mergeCell ref="E31:H31"/>
    <mergeCell ref="E34:H34"/>
    <mergeCell ref="A26:D26"/>
    <mergeCell ref="A10:B10"/>
    <mergeCell ref="E6:H6"/>
    <mergeCell ref="E30:H30"/>
    <mergeCell ref="E27:H27"/>
    <mergeCell ref="E36:H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2026-07-06T18:29:01Z</dcterms:created>
  <dcterms:modified xsi:type="dcterms:W3CDTF">2026-07-06T19:05:11Z</dcterms:modified>
</cp:coreProperties>
</file>